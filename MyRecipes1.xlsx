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va\ingredients_calc\"/>
    </mc:Choice>
  </mc:AlternateContent>
  <xr:revisionPtr revIDLastSave="0" documentId="8_{B493E453-03B6-4834-8297-95B7C7E3774B}" xr6:coauthVersionLast="47" xr6:coauthVersionMax="47" xr10:uidLastSave="{00000000-0000-0000-0000-000000000000}"/>
  <bookViews>
    <workbookView xWindow="-108" yWindow="-108" windowWidth="23256" windowHeight="12456" xr2:uid="{358F0106-E8E3-49DF-B5C5-B3119D10EBC4}"/>
  </bookViews>
  <sheets>
    <sheet name="Sheet1" sheetId="1" r:id="rId1"/>
  </sheets>
  <definedNames>
    <definedName name="BaseCake">Sheet1!$E$13</definedName>
    <definedName name="BaseChocoBrownie">Sheet1!$E$127</definedName>
    <definedName name="BaseChocolate">Sheet1!$D$147</definedName>
    <definedName name="BaseEnglishMuffins">Sheet1!$E$101</definedName>
    <definedName name="BaseHolSauce">Sheet1!$E$114</definedName>
    <definedName name="BaseJapanCheeseCake">Sheet1!$E$81</definedName>
    <definedName name="BaseMinistrone">Sheet1!$E$61</definedName>
    <definedName name="BasePaavBhaji">Sheet1!$N$4</definedName>
    <definedName name="BaseStock">Sheet1!$E$30</definedName>
    <definedName name="BaseVegStock">Sheet1!$E$46</definedName>
    <definedName name="CakeFlour">Sheet1!$F$13</definedName>
    <definedName name="ChocoBrownieTBM">Sheet1!$F$127</definedName>
    <definedName name="ChocolateTBM">Sheet1!$F$147</definedName>
    <definedName name="ChurrosBase">Sheet1!$E$153</definedName>
    <definedName name="ChurrosTBM">Sheet1!$F$153</definedName>
    <definedName name="EnglishMuffinsTBM">Sheet1!$F$101</definedName>
    <definedName name="Flour">Sheet1!$F$4</definedName>
    <definedName name="HolSauceTBM">Sheet1!$F$114</definedName>
    <definedName name="JapanCheeseCakeTBM">Sheet1!$F$81</definedName>
    <definedName name="MinistroneTBM">Sheet1!$F$61</definedName>
    <definedName name="Munit">Sheet1!$G$4</definedName>
    <definedName name="PaavBhajiTBM">Sheet1!$O$4</definedName>
    <definedName name="StockTBM">Sheet1!$F$30</definedName>
    <definedName name="VegStockTBM">Sheet1!$F$46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5" i="1" l="1"/>
  <c r="D185" i="1"/>
  <c r="E182" i="1"/>
  <c r="F182" i="1" s="1"/>
  <c r="E181" i="1"/>
  <c r="F181" i="1" s="1"/>
  <c r="E180" i="1"/>
  <c r="F180" i="1" s="1"/>
  <c r="E179" i="1"/>
  <c r="F179" i="1" s="1"/>
  <c r="E178" i="1"/>
  <c r="F178" i="1" s="1"/>
  <c r="D178" i="1"/>
  <c r="E177" i="1"/>
  <c r="F177" i="1" s="1"/>
  <c r="E176" i="1"/>
  <c r="F176" i="1" s="1"/>
  <c r="E175" i="1"/>
  <c r="F175" i="1" s="1"/>
  <c r="E174" i="1"/>
  <c r="F174" i="1" s="1"/>
  <c r="E173" i="1"/>
  <c r="F173" i="1" s="1"/>
  <c r="E172" i="1"/>
  <c r="F172" i="1" s="1"/>
  <c r="F185" i="1" s="1"/>
  <c r="G166" i="1"/>
  <c r="E163" i="1"/>
  <c r="F163" i="1" s="1"/>
  <c r="E162" i="1"/>
  <c r="F162" i="1" s="1"/>
  <c r="E161" i="1"/>
  <c r="F161" i="1" s="1"/>
  <c r="E160" i="1"/>
  <c r="F160" i="1" s="1"/>
  <c r="F159" i="1"/>
  <c r="E159" i="1"/>
  <c r="D159" i="1"/>
  <c r="D166" i="1" s="1"/>
  <c r="E158" i="1"/>
  <c r="F158" i="1" s="1"/>
  <c r="E157" i="1"/>
  <c r="F157" i="1" s="1"/>
  <c r="E156" i="1"/>
  <c r="F156" i="1" s="1"/>
  <c r="E155" i="1"/>
  <c r="F155" i="1" s="1"/>
  <c r="E154" i="1"/>
  <c r="F154" i="1" s="1"/>
  <c r="D147" i="1"/>
  <c r="F146" i="1"/>
  <c r="F145" i="1"/>
  <c r="G140" i="1"/>
  <c r="E137" i="1"/>
  <c r="F137" i="1" s="1"/>
  <c r="E136" i="1"/>
  <c r="F136" i="1" s="1"/>
  <c r="E135" i="1"/>
  <c r="F135" i="1" s="1"/>
  <c r="E134" i="1"/>
  <c r="F134" i="1" s="1"/>
  <c r="D133" i="1"/>
  <c r="E133" i="1" s="1"/>
  <c r="F133" i="1" s="1"/>
  <c r="E132" i="1"/>
  <c r="F132" i="1" s="1"/>
  <c r="F131" i="1"/>
  <c r="E131" i="1"/>
  <c r="E130" i="1"/>
  <c r="F130" i="1" s="1"/>
  <c r="E129" i="1"/>
  <c r="F129" i="1" s="1"/>
  <c r="F128" i="1"/>
  <c r="E128" i="1"/>
  <c r="G122" i="1"/>
  <c r="D122" i="1"/>
  <c r="E119" i="1"/>
  <c r="F119" i="1" s="1"/>
  <c r="E118" i="1"/>
  <c r="F118" i="1" s="1"/>
  <c r="G117" i="1"/>
  <c r="F117" i="1"/>
  <c r="E117" i="1"/>
  <c r="G116" i="1"/>
  <c r="E116" i="1"/>
  <c r="F116" i="1" s="1"/>
  <c r="E115" i="1"/>
  <c r="F115" i="1" s="1"/>
  <c r="G109" i="1"/>
  <c r="D109" i="1"/>
  <c r="G107" i="1"/>
  <c r="E107" i="1"/>
  <c r="F107" i="1" s="1"/>
  <c r="E106" i="1"/>
  <c r="F106" i="1" s="1"/>
  <c r="E105" i="1"/>
  <c r="F105" i="1" s="1"/>
  <c r="G104" i="1"/>
  <c r="E104" i="1"/>
  <c r="F104" i="1" s="1"/>
  <c r="G103" i="1"/>
  <c r="E103" i="1"/>
  <c r="F103" i="1" s="1"/>
  <c r="E102" i="1"/>
  <c r="F102" i="1" s="1"/>
  <c r="F109" i="1" s="1"/>
  <c r="G96" i="1"/>
  <c r="D96" i="1"/>
  <c r="G92" i="1"/>
  <c r="E92" i="1"/>
  <c r="F92" i="1" s="1"/>
  <c r="G91" i="1"/>
  <c r="F91" i="1"/>
  <c r="G90" i="1"/>
  <c r="E90" i="1"/>
  <c r="F90" i="1" s="1"/>
  <c r="E89" i="1"/>
  <c r="F89" i="1" s="1"/>
  <c r="F88" i="1"/>
  <c r="E88" i="1"/>
  <c r="G87" i="1"/>
  <c r="E87" i="1"/>
  <c r="F87" i="1" s="1"/>
  <c r="E86" i="1"/>
  <c r="F86" i="1" s="1"/>
  <c r="E85" i="1"/>
  <c r="F85" i="1" s="1"/>
  <c r="G84" i="1"/>
  <c r="F84" i="1"/>
  <c r="E84" i="1"/>
  <c r="G83" i="1"/>
  <c r="E83" i="1"/>
  <c r="F83" i="1" s="1"/>
  <c r="E82" i="1"/>
  <c r="F82" i="1" s="1"/>
  <c r="G76" i="1"/>
  <c r="D76" i="1"/>
  <c r="G75" i="1"/>
  <c r="E75" i="1"/>
  <c r="F75" i="1" s="1"/>
  <c r="G74" i="1"/>
  <c r="E74" i="1"/>
  <c r="F74" i="1" s="1"/>
  <c r="G73" i="1"/>
  <c r="F73" i="1"/>
  <c r="G72" i="1"/>
  <c r="E72" i="1"/>
  <c r="F72" i="1" s="1"/>
  <c r="G71" i="1"/>
  <c r="F71" i="1"/>
  <c r="E71" i="1"/>
  <c r="G70" i="1"/>
  <c r="E70" i="1"/>
  <c r="F70" i="1" s="1"/>
  <c r="E69" i="1"/>
  <c r="F69" i="1" s="1"/>
  <c r="E68" i="1"/>
  <c r="F68" i="1" s="1"/>
  <c r="G67" i="1"/>
  <c r="F67" i="1"/>
  <c r="E67" i="1"/>
  <c r="E66" i="1"/>
  <c r="F66" i="1" s="1"/>
  <c r="E65" i="1"/>
  <c r="F65" i="1" s="1"/>
  <c r="G64" i="1"/>
  <c r="E64" i="1"/>
  <c r="F64" i="1" s="1"/>
  <c r="G63" i="1"/>
  <c r="F63" i="1"/>
  <c r="E63" i="1"/>
  <c r="E62" i="1"/>
  <c r="F62" i="1" s="1"/>
  <c r="F76" i="1" s="1"/>
  <c r="G57" i="1"/>
  <c r="D57" i="1"/>
  <c r="G55" i="1"/>
  <c r="G54" i="1"/>
  <c r="E54" i="1"/>
  <c r="F54" i="1" s="1"/>
  <c r="E52" i="1"/>
  <c r="F52" i="1" s="1"/>
  <c r="G51" i="1"/>
  <c r="E51" i="1"/>
  <c r="F51" i="1" s="1"/>
  <c r="E50" i="1"/>
  <c r="F50" i="1" s="1"/>
  <c r="E49" i="1"/>
  <c r="F49" i="1" s="1"/>
  <c r="G48" i="1"/>
  <c r="E48" i="1"/>
  <c r="F48" i="1" s="1"/>
  <c r="G47" i="1"/>
  <c r="E46" i="1"/>
  <c r="E55" i="1" s="1"/>
  <c r="F55" i="1" s="1"/>
  <c r="G41" i="1"/>
  <c r="D41" i="1"/>
  <c r="G39" i="1"/>
  <c r="E39" i="1"/>
  <c r="F39" i="1" s="1"/>
  <c r="G38" i="1"/>
  <c r="E38" i="1"/>
  <c r="F38" i="1" s="1"/>
  <c r="E36" i="1"/>
  <c r="F36" i="1" s="1"/>
  <c r="G35" i="1"/>
  <c r="E35" i="1"/>
  <c r="F35" i="1" s="1"/>
  <c r="E34" i="1"/>
  <c r="F34" i="1" s="1"/>
  <c r="G33" i="1"/>
  <c r="E33" i="1"/>
  <c r="F33" i="1" s="1"/>
  <c r="Q32" i="1"/>
  <c r="N32" i="1"/>
  <c r="G32" i="1"/>
  <c r="G31" i="1"/>
  <c r="E31" i="1"/>
  <c r="F31" i="1" s="1"/>
  <c r="E30" i="1"/>
  <c r="E37" i="1" s="1"/>
  <c r="F37" i="1" s="1"/>
  <c r="Q29" i="1"/>
  <c r="O29" i="1"/>
  <c r="P29" i="1" s="1"/>
  <c r="Q28" i="1"/>
  <c r="Q27" i="1"/>
  <c r="O27" i="1"/>
  <c r="P27" i="1" s="1"/>
  <c r="Q26" i="1"/>
  <c r="Q25" i="1"/>
  <c r="O25" i="1"/>
  <c r="P25" i="1" s="1"/>
  <c r="G25" i="1"/>
  <c r="D25" i="1"/>
  <c r="E25" i="1" s="1"/>
  <c r="Q24" i="1"/>
  <c r="G24" i="1"/>
  <c r="E24" i="1"/>
  <c r="F24" i="1" s="1"/>
  <c r="Q23" i="1"/>
  <c r="G23" i="1"/>
  <c r="E23" i="1"/>
  <c r="F23" i="1" s="1"/>
  <c r="Q22" i="1"/>
  <c r="O22" i="1"/>
  <c r="P22" i="1" s="1"/>
  <c r="G22" i="1"/>
  <c r="O21" i="1"/>
  <c r="G21" i="1"/>
  <c r="E21" i="1"/>
  <c r="F21" i="1" s="1"/>
  <c r="G20" i="1"/>
  <c r="G19" i="1"/>
  <c r="G18" i="1"/>
  <c r="G17" i="1"/>
  <c r="G16" i="1"/>
  <c r="E16" i="1"/>
  <c r="F16" i="1" s="1"/>
  <c r="P15" i="1"/>
  <c r="M15" i="1"/>
  <c r="G15" i="1"/>
  <c r="E15" i="1"/>
  <c r="F15" i="1" s="1"/>
  <c r="G14" i="1"/>
  <c r="E13" i="1"/>
  <c r="E22" i="1" s="1"/>
  <c r="F22" i="1" s="1"/>
  <c r="P12" i="1"/>
  <c r="P11" i="1"/>
  <c r="N11" i="1"/>
  <c r="O11" i="1" s="1"/>
  <c r="P10" i="1"/>
  <c r="P9" i="1"/>
  <c r="N9" i="1"/>
  <c r="O9" i="1" s="1"/>
  <c r="G9" i="1"/>
  <c r="F9" i="1"/>
  <c r="P8" i="1"/>
  <c r="G8" i="1"/>
  <c r="F8" i="1"/>
  <c r="P7" i="1"/>
  <c r="N7" i="1"/>
  <c r="O7" i="1" s="1"/>
  <c r="G7" i="1"/>
  <c r="F7" i="1"/>
  <c r="P6" i="1"/>
  <c r="N6" i="1"/>
  <c r="O6" i="1" s="1"/>
  <c r="G6" i="1"/>
  <c r="F6" i="1"/>
  <c r="P5" i="1"/>
  <c r="N5" i="1"/>
  <c r="O5" i="1" s="1"/>
  <c r="G5" i="1"/>
  <c r="F5" i="1"/>
  <c r="N4" i="1"/>
  <c r="N8" i="1" s="1"/>
  <c r="O8" i="1" s="1"/>
  <c r="F140" i="1" l="1"/>
  <c r="F96" i="1"/>
  <c r="F166" i="1"/>
  <c r="F122" i="1"/>
  <c r="E18" i="1"/>
  <c r="F18" i="1" s="1"/>
  <c r="E14" i="1"/>
  <c r="F14" i="1" s="1"/>
  <c r="E53" i="1"/>
  <c r="F53" i="1" s="1"/>
  <c r="E19" i="1"/>
  <c r="F19" i="1" s="1"/>
  <c r="E47" i="1"/>
  <c r="F47" i="1" s="1"/>
  <c r="F57" i="1" s="1"/>
  <c r="N10" i="1"/>
  <c r="O10" i="1" s="1"/>
  <c r="O15" i="1" s="1"/>
  <c r="E32" i="1"/>
  <c r="F32" i="1" s="1"/>
  <c r="F41" i="1" s="1"/>
  <c r="E20" i="1"/>
  <c r="F20" i="1" s="1"/>
  <c r="H20" i="1" s="1"/>
  <c r="O23" i="1"/>
  <c r="P23" i="1" s="1"/>
  <c r="P32" i="1" s="1"/>
  <c r="O26" i="1"/>
  <c r="P26" i="1" s="1"/>
  <c r="D140" i="1"/>
  <c r="N12" i="1"/>
  <c r="O12" i="1" s="1"/>
  <c r="E17" i="1"/>
  <c r="F17" i="1" s="1"/>
  <c r="O24" i="1"/>
  <c r="P24" i="1" s="1"/>
  <c r="O28" i="1"/>
  <c r="P28" i="1" s="1"/>
  <c r="F25" i="1" l="1"/>
</calcChain>
</file>

<file path=xl/sharedStrings.xml><?xml version="1.0" encoding="utf-8"?>
<sst xmlns="http://schemas.openxmlformats.org/spreadsheetml/2006/main" count="368" uniqueCount="158">
  <si>
    <t>Laadi Paav</t>
  </si>
  <si>
    <t>Paav bhaji</t>
  </si>
  <si>
    <t>Notes</t>
  </si>
  <si>
    <t>Ingredients</t>
  </si>
  <si>
    <t>Recommended %ages</t>
  </si>
  <si>
    <t>My scale/ factor</t>
  </si>
  <si>
    <t>Populate recipe in gms</t>
  </si>
  <si>
    <t>Units</t>
  </si>
  <si>
    <t>Base ingredient--&gt;</t>
  </si>
  <si>
    <t>Flour</t>
  </si>
  <si>
    <t>always 100%</t>
  </si>
  <si>
    <t>gms</t>
  </si>
  <si>
    <t>Potato</t>
  </si>
  <si>
    <t>Yeast</t>
  </si>
  <si>
    <t>1% - 1,5%</t>
  </si>
  <si>
    <t>Capsicum</t>
  </si>
  <si>
    <t>Milk or milk + water</t>
  </si>
  <si>
    <t>Milk+water</t>
  </si>
  <si>
    <t>65 to 75%</t>
  </si>
  <si>
    <t>Peas</t>
  </si>
  <si>
    <t>softened and room temp</t>
  </si>
  <si>
    <t>Butter</t>
  </si>
  <si>
    <t>6% to 10 %</t>
  </si>
  <si>
    <t>Flower</t>
  </si>
  <si>
    <t>Salt</t>
  </si>
  <si>
    <t>1,5 to 2%</t>
  </si>
  <si>
    <t>Ginger</t>
  </si>
  <si>
    <t>Sugar</t>
  </si>
  <si>
    <t>5 to 8 %</t>
  </si>
  <si>
    <t>Garlic</t>
  </si>
  <si>
    <t>Chillies</t>
  </si>
  <si>
    <t>Chocolate Cake</t>
  </si>
  <si>
    <t>Onion</t>
  </si>
  <si>
    <t>Recommended %ages or quantity</t>
  </si>
  <si>
    <t>Tomatoes</t>
  </si>
  <si>
    <t>Paav bhaji masala</t>
  </si>
  <si>
    <t>as per taste</t>
  </si>
  <si>
    <t>Cocoa</t>
  </si>
  <si>
    <t>Baking Powder</t>
  </si>
  <si>
    <t>Sum</t>
  </si>
  <si>
    <t>Baking soda</t>
  </si>
  <si>
    <t>Fine Sugar</t>
  </si>
  <si>
    <t>2 large, each of 57-64gms</t>
  </si>
  <si>
    <t>Eggs</t>
  </si>
  <si>
    <t>Malai Kofta</t>
  </si>
  <si>
    <t>2tsp</t>
  </si>
  <si>
    <t>Vanilla essence</t>
  </si>
  <si>
    <t>in gms if powder is used</t>
  </si>
  <si>
    <t>Oil</t>
  </si>
  <si>
    <t>at Room temperature</t>
  </si>
  <si>
    <t>Milk</t>
  </si>
  <si>
    <t>Boiling hot</t>
  </si>
  <si>
    <t>Water</t>
  </si>
  <si>
    <t>Instant Coffee</t>
  </si>
  <si>
    <t>Chicken Stock</t>
  </si>
  <si>
    <t xml:space="preserve">- 1 kg chicken bones </t>
  </si>
  <si>
    <t>chicken bones</t>
  </si>
  <si>
    <t>- 2 medium onions (200 g total), quartered</t>
  </si>
  <si>
    <t>onions</t>
  </si>
  <si>
    <t>carrots</t>
  </si>
  <si>
    <t>- 2 medium carrots (100 g total), cut into 5 cm chunks</t>
  </si>
  <si>
    <t>celery stalks</t>
  </si>
  <si>
    <t>- 2 celery stalks (100 g total), cut into 5 cm pieces</t>
  </si>
  <si>
    <t>olive oil</t>
  </si>
  <si>
    <t>ml</t>
  </si>
  <si>
    <t>- 2 tbsp olive oil (30 ml)</t>
  </si>
  <si>
    <t>water</t>
  </si>
  <si>
    <t>- 2 L water</t>
  </si>
  <si>
    <t>bay leaves</t>
  </si>
  <si>
    <t>- 2 bay leaves</t>
  </si>
  <si>
    <t>black peppercorns</t>
  </si>
  <si>
    <t>- 5 black peppercorns</t>
  </si>
  <si>
    <t>fresh parsley</t>
  </si>
  <si>
    <t>- 10 g fresh parsley (stems only)</t>
  </si>
  <si>
    <t>thyme</t>
  </si>
  <si>
    <t>- 10g fresh Thyme</t>
  </si>
  <si>
    <t>Vegetable Stock</t>
  </si>
  <si>
    <t>- 2 medium onions (500 g total), quartered</t>
  </si>
  <si>
    <t>- 2 medium carrots (250 g total), cut into 5 cm chunks</t>
  </si>
  <si>
    <t>- 2 celery stalks (250 g total), cut into 5 cm pieces</t>
  </si>
  <si>
    <t xml:space="preserve">- 150g mushroom </t>
  </si>
  <si>
    <t>- 2 garlic cloves (10 g), peeled</t>
  </si>
  <si>
    <t>mushrooms</t>
  </si>
  <si>
    <t>- 1.5 L water</t>
  </si>
  <si>
    <t>garlic</t>
  </si>
  <si>
    <t>Ministrone</t>
  </si>
  <si>
    <t>Serving</t>
  </si>
  <si>
    <t>Carrots</t>
  </si>
  <si>
    <t>Celery</t>
  </si>
  <si>
    <t>Zucchini</t>
  </si>
  <si>
    <t>Canned diced tomatoes</t>
  </si>
  <si>
    <t>Small pasta (macaroni)</t>
  </si>
  <si>
    <t>Pre-cooked kidney beans / rajma</t>
  </si>
  <si>
    <t>Dried oregano</t>
  </si>
  <si>
    <t>Basil</t>
  </si>
  <si>
    <t>Salt and pepper</t>
  </si>
  <si>
    <t>Olive oil</t>
  </si>
  <si>
    <t>Fresh parsley</t>
  </si>
  <si>
    <t>Japanese Cheesecake</t>
  </si>
  <si>
    <t>Cream cheese full fat, softened</t>
  </si>
  <si>
    <t>unsalted butter, softened</t>
  </si>
  <si>
    <t>whole milk</t>
  </si>
  <si>
    <t>large eggs separated</t>
  </si>
  <si>
    <t>granulated sugar</t>
  </si>
  <si>
    <t>maida</t>
  </si>
  <si>
    <t>cornstarch</t>
  </si>
  <si>
    <t>lemonzest</t>
  </si>
  <si>
    <t>lemon juice</t>
  </si>
  <si>
    <t>optional</t>
  </si>
  <si>
    <t xml:space="preserve">icing sugar </t>
  </si>
  <si>
    <t>English Muffins</t>
  </si>
  <si>
    <t>Yield</t>
  </si>
  <si>
    <t>Butter softened</t>
  </si>
  <si>
    <t>Semolina</t>
  </si>
  <si>
    <t>as needed</t>
  </si>
  <si>
    <t>Hollandaise Sauce</t>
  </si>
  <si>
    <t>Large egg yolks</t>
  </si>
  <si>
    <t>Dijon mustard</t>
  </si>
  <si>
    <t>unsalted butter</t>
  </si>
  <si>
    <t>pinch</t>
  </si>
  <si>
    <t>cayenne pepper</t>
  </si>
  <si>
    <t>Chocobrownie</t>
  </si>
  <si>
    <t>200 g coverture chocolate(70%)</t>
  </si>
  <si>
    <t>150 g unsalted butter</t>
  </si>
  <si>
    <t>150 g granulated sugar</t>
  </si>
  <si>
    <t>Coverture chocolate</t>
  </si>
  <si>
    <t>100 g brown sugar</t>
  </si>
  <si>
    <t>3 large eggs (room temperature)</t>
  </si>
  <si>
    <t>1 tsp vanilla extract</t>
  </si>
  <si>
    <t>brown sugar</t>
  </si>
  <si>
    <t>100 g all-purpose flour</t>
  </si>
  <si>
    <t>3 large</t>
  </si>
  <si>
    <t>eggs</t>
  </si>
  <si>
    <t>30 g cocoa powder</t>
  </si>
  <si>
    <t>1 tsp</t>
  </si>
  <si>
    <t>vanilla extract</t>
  </si>
  <si>
    <t>Cocoa powder</t>
  </si>
  <si>
    <t>half tsp</t>
  </si>
  <si>
    <t>Walnuts/Cashews</t>
  </si>
  <si>
    <t>½ tsp salt</t>
  </si>
  <si>
    <t>100 g walnuts/cashews, chopped (optional)</t>
  </si>
  <si>
    <t>Chocolate Tempering</t>
  </si>
  <si>
    <t>Seeding methos</t>
  </si>
  <si>
    <t>45-48°</t>
  </si>
  <si>
    <t>Chocolate</t>
  </si>
  <si>
    <t>add and stir until 31-32°</t>
  </si>
  <si>
    <t>Chocolate for seeding</t>
  </si>
  <si>
    <t>Churros</t>
  </si>
  <si>
    <t>powdered sugar</t>
  </si>
  <si>
    <t>heavy cream</t>
  </si>
  <si>
    <t>Almonds</t>
  </si>
  <si>
    <t>Butter Eclairs</t>
  </si>
  <si>
    <t>Castor sugar</t>
  </si>
  <si>
    <t>Lemon juice</t>
  </si>
  <si>
    <t>4 large</t>
  </si>
  <si>
    <t>cold butter</t>
  </si>
  <si>
    <t>icing sugar</t>
  </si>
  <si>
    <t>lemon zest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</si>
</sst>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7F7F7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4" fillId="3" borderId="1" applyNumberFormat="0" applyAlignment="0" applyProtection="0"/>
    <xf numFmtId="0" fontId="5" fillId="4" borderId="2" applyNumberFormat="0" applyAlignment="0" applyProtection="0"/>
    <xf numFmtId="0" fontId="6" fillId="0" borderId="0" applyNumberFormat="0" applyFill="0" applyBorder="0" applyAlignment="0" applyProtection="0"/>
    <xf numFmtId="0" fontId="1" fillId="5" borderId="3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</cellStyleXfs>
  <cellXfs count="27">
    <xf numFmtId="0" fontId="0" fillId="0" borderId="0" xfId="0"/>
    <xf numFmtId="0" fontId="2" fillId="0" borderId="5" xfId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5" xfId="7" applyFont="1" applyBorder="1"/>
    <xf numFmtId="0" fontId="5" fillId="4" borderId="2" xfId="4"/>
    <xf numFmtId="2" fontId="6" fillId="5" borderId="5" xfId="5" applyNumberFormat="1" applyFill="1" applyBorder="1"/>
    <xf numFmtId="9" fontId="5" fillId="4" borderId="2" xfId="4" applyNumberFormat="1"/>
    <xf numFmtId="0" fontId="3" fillId="2" borderId="5" xfId="2" applyBorder="1"/>
    <xf numFmtId="2" fontId="10" fillId="4" borderId="2" xfId="4" applyNumberFormat="1" applyFont="1"/>
    <xf numFmtId="0" fontId="7" fillId="0" borderId="5" xfId="7" applyBorder="1"/>
    <xf numFmtId="0" fontId="0" fillId="5" borderId="5" xfId="6" applyFont="1" applyBorder="1"/>
    <xf numFmtId="10" fontId="5" fillId="4" borderId="2" xfId="4" applyNumberFormat="1"/>
    <xf numFmtId="2" fontId="4" fillId="3" borderId="5" xfId="3" applyNumberFormat="1" applyBorder="1"/>
    <xf numFmtId="0" fontId="4" fillId="3" borderId="5" xfId="3" applyBorder="1"/>
    <xf numFmtId="2" fontId="0" fillId="5" borderId="5" xfId="6" applyNumberFormat="1" applyFont="1" applyBorder="1"/>
    <xf numFmtId="0" fontId="8" fillId="4" borderId="4" xfId="8" applyFill="1" applyAlignment="1">
      <alignment horizontal="right"/>
    </xf>
    <xf numFmtId="2" fontId="8" fillId="5" borderId="4" xfId="8" applyNumberFormat="1" applyFill="1"/>
    <xf numFmtId="9" fontId="8" fillId="4" borderId="4" xfId="8" applyNumberFormat="1" applyFill="1"/>
    <xf numFmtId="2" fontId="8" fillId="3" borderId="4" xfId="8" applyNumberFormat="1" applyFill="1"/>
    <xf numFmtId="0" fontId="8" fillId="3" borderId="4" xfId="8" applyFill="1"/>
    <xf numFmtId="2" fontId="0" fillId="0" borderId="0" xfId="0" applyNumberFormat="1"/>
    <xf numFmtId="0" fontId="8" fillId="0" borderId="4" xfId="8"/>
    <xf numFmtId="0" fontId="11" fillId="0" borderId="0" xfId="0" applyFont="1" applyAlignment="1">
      <alignment vertical="center"/>
    </xf>
    <xf numFmtId="0" fontId="11" fillId="0" borderId="0" xfId="0" applyFont="1"/>
    <xf numFmtId="1" fontId="5" fillId="4" borderId="2" xfId="4" applyNumberFormat="1"/>
    <xf numFmtId="1" fontId="4" fillId="3" borderId="5" xfId="3" applyNumberFormat="1" applyBorder="1"/>
    <xf numFmtId="0" fontId="12" fillId="0" borderId="0" xfId="0" applyFont="1"/>
  </cellXfs>
  <cellStyles count="9">
    <cellStyle name="Calculation" xfId="3" builtinId="22"/>
    <cellStyle name="Check Cell" xfId="4" builtinId="23"/>
    <cellStyle name="Explanatory Text" xfId="7" builtinId="53"/>
    <cellStyle name="Heading 4" xfId="1" builtinId="19"/>
    <cellStyle name="Input" xfId="2" builtinId="20"/>
    <cellStyle name="Normal" xfId="0" builtinId="0"/>
    <cellStyle name="Note" xfId="6" builtinId="10"/>
    <cellStyle name="Total" xfId="8" builtinId="25"/>
    <cellStyle name="Warning Text" xfId="5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6C01-AC01-4C1E-93D0-D69FB32938F9}">
  <dimension ref="B2:Q186"/>
  <sheetViews>
    <sheetView tabSelected="1" workbookViewId="0">
      <selection sqref="A1:XFD1048576"/>
    </sheetView>
  </sheetViews>
  <sheetFormatPr defaultRowHeight="14.4" x14ac:dyDescent="0.3"/>
  <cols>
    <col min="2" max="2" width="23.44140625" bestFit="1" customWidth="1"/>
    <col min="3" max="3" width="30.6640625" bestFit="1" customWidth="1"/>
    <col min="4" max="4" width="14.6640625" customWidth="1"/>
    <col min="5" max="5" width="10.88671875" customWidth="1"/>
    <col min="6" max="6" width="15.44140625" customWidth="1"/>
    <col min="7" max="7" width="10.88671875" customWidth="1"/>
    <col min="8" max="8" width="3.109375" customWidth="1"/>
    <col min="9" max="9" width="22.6640625" bestFit="1" customWidth="1"/>
    <col min="11" max="11" width="18" bestFit="1" customWidth="1"/>
    <col min="12" max="12" width="16.6640625" bestFit="1" customWidth="1"/>
    <col min="13" max="13" width="11.109375" bestFit="1" customWidth="1"/>
  </cols>
  <sheetData>
    <row r="2" spans="2:16" x14ac:dyDescent="0.3">
      <c r="B2" t="s">
        <v>0</v>
      </c>
      <c r="K2" t="s">
        <v>1</v>
      </c>
    </row>
    <row r="3" spans="2:16" s="2" customFormat="1" ht="43.8" thickBot="1" x14ac:dyDescent="0.3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K3" s="1" t="s">
        <v>2</v>
      </c>
      <c r="L3" s="1" t="s">
        <v>3</v>
      </c>
      <c r="M3" s="1" t="s">
        <v>4</v>
      </c>
      <c r="N3" s="1" t="s">
        <v>5</v>
      </c>
      <c r="O3" s="1" t="s">
        <v>6</v>
      </c>
      <c r="P3" s="1" t="s">
        <v>7</v>
      </c>
    </row>
    <row r="4" spans="2:16" ht="15.6" thickTop="1" thickBot="1" x14ac:dyDescent="0.35">
      <c r="B4" s="3" t="s">
        <v>8</v>
      </c>
      <c r="C4" s="4" t="s">
        <v>9</v>
      </c>
      <c r="D4" s="5" t="s">
        <v>10</v>
      </c>
      <c r="E4" s="6">
        <v>1</v>
      </c>
      <c r="F4" s="7">
        <v>250</v>
      </c>
      <c r="G4" s="7" t="s">
        <v>11</v>
      </c>
      <c r="K4" s="3" t="s">
        <v>8</v>
      </c>
      <c r="L4" s="4" t="s">
        <v>12</v>
      </c>
      <c r="M4" s="5">
        <v>100</v>
      </c>
      <c r="N4" s="8">
        <f>M4</f>
        <v>100</v>
      </c>
      <c r="O4" s="7">
        <v>150</v>
      </c>
      <c r="P4" s="7" t="s">
        <v>11</v>
      </c>
    </row>
    <row r="5" spans="2:16" ht="15.6" thickTop="1" thickBot="1" x14ac:dyDescent="0.35">
      <c r="B5" s="9"/>
      <c r="C5" s="4" t="s">
        <v>13</v>
      </c>
      <c r="D5" s="10" t="s">
        <v>14</v>
      </c>
      <c r="E5" s="11">
        <v>1.2500000000000001E-2</v>
      </c>
      <c r="F5" s="12">
        <f>E5*Flour</f>
        <v>3.125</v>
      </c>
      <c r="G5" s="13" t="str">
        <f>Munit</f>
        <v>gms</v>
      </c>
      <c r="K5" s="9"/>
      <c r="L5" s="4" t="s">
        <v>15</v>
      </c>
      <c r="M5" s="14">
        <v>50</v>
      </c>
      <c r="N5" s="6">
        <f t="shared" ref="N5:N12" si="0">M5/BasePaavBhaji</f>
        <v>0.5</v>
      </c>
      <c r="O5" s="12">
        <f t="shared" ref="O5:O12" si="1">N5*PaavBhajiTBM</f>
        <v>75</v>
      </c>
      <c r="P5" s="13" t="str">
        <f t="shared" ref="P5:P12" si="2">Munit</f>
        <v>gms</v>
      </c>
    </row>
    <row r="6" spans="2:16" ht="15.6" thickTop="1" thickBot="1" x14ac:dyDescent="0.35">
      <c r="B6" s="9" t="s">
        <v>16</v>
      </c>
      <c r="C6" s="4" t="s">
        <v>17</v>
      </c>
      <c r="D6" s="10" t="s">
        <v>18</v>
      </c>
      <c r="E6" s="6">
        <v>0.7</v>
      </c>
      <c r="F6" s="12">
        <f>E6*Flour</f>
        <v>175</v>
      </c>
      <c r="G6" s="13" t="str">
        <f>Munit</f>
        <v>gms</v>
      </c>
      <c r="K6" s="9"/>
      <c r="L6" s="4" t="s">
        <v>19</v>
      </c>
      <c r="M6" s="14">
        <v>50</v>
      </c>
      <c r="N6" s="6">
        <f t="shared" si="0"/>
        <v>0.5</v>
      </c>
      <c r="O6" s="12">
        <f t="shared" si="1"/>
        <v>75</v>
      </c>
      <c r="P6" s="13" t="str">
        <f t="shared" si="2"/>
        <v>gms</v>
      </c>
    </row>
    <row r="7" spans="2:16" ht="15.6" thickTop="1" thickBot="1" x14ac:dyDescent="0.35">
      <c r="B7" s="9" t="s">
        <v>20</v>
      </c>
      <c r="C7" s="4" t="s">
        <v>21</v>
      </c>
      <c r="D7" s="10" t="s">
        <v>22</v>
      </c>
      <c r="E7" s="6">
        <v>0.08</v>
      </c>
      <c r="F7" s="12">
        <f>E7*Flour</f>
        <v>20</v>
      </c>
      <c r="G7" s="13" t="str">
        <f>Munit</f>
        <v>gms</v>
      </c>
      <c r="K7" s="9"/>
      <c r="L7" s="4" t="s">
        <v>23</v>
      </c>
      <c r="M7" s="14">
        <v>100</v>
      </c>
      <c r="N7" s="6">
        <f t="shared" si="0"/>
        <v>1</v>
      </c>
      <c r="O7" s="12">
        <f t="shared" si="1"/>
        <v>150</v>
      </c>
      <c r="P7" s="13" t="str">
        <f t="shared" si="2"/>
        <v>gms</v>
      </c>
    </row>
    <row r="8" spans="2:16" ht="15.6" thickTop="1" thickBot="1" x14ac:dyDescent="0.35">
      <c r="B8" s="9"/>
      <c r="C8" s="4" t="s">
        <v>24</v>
      </c>
      <c r="D8" s="10" t="s">
        <v>25</v>
      </c>
      <c r="E8" s="11">
        <v>1.7500000000000002E-2</v>
      </c>
      <c r="F8" s="12">
        <f>E8*Flour</f>
        <v>4.375</v>
      </c>
      <c r="G8" s="13" t="str">
        <f>Munit</f>
        <v>gms</v>
      </c>
      <c r="K8" s="9"/>
      <c r="L8" s="4" t="s">
        <v>26</v>
      </c>
      <c r="M8" s="14">
        <v>7</v>
      </c>
      <c r="N8" s="6">
        <f t="shared" si="0"/>
        <v>7.0000000000000007E-2</v>
      </c>
      <c r="O8" s="12">
        <f t="shared" si="1"/>
        <v>10.500000000000002</v>
      </c>
      <c r="P8" s="13" t="str">
        <f t="shared" si="2"/>
        <v>gms</v>
      </c>
    </row>
    <row r="9" spans="2:16" ht="15.6" thickTop="1" thickBot="1" x14ac:dyDescent="0.35">
      <c r="B9" s="9"/>
      <c r="C9" s="4" t="s">
        <v>27</v>
      </c>
      <c r="D9" s="10" t="s">
        <v>28</v>
      </c>
      <c r="E9" s="6">
        <v>7.0000000000000007E-2</v>
      </c>
      <c r="F9" s="12">
        <f>E9*Flour</f>
        <v>17.5</v>
      </c>
      <c r="G9" s="13" t="str">
        <f>Munit</f>
        <v>gms</v>
      </c>
      <c r="K9" s="9"/>
      <c r="L9" s="4" t="s">
        <v>29</v>
      </c>
      <c r="M9" s="14">
        <v>5</v>
      </c>
      <c r="N9" s="6">
        <f t="shared" si="0"/>
        <v>0.05</v>
      </c>
      <c r="O9" s="12">
        <f t="shared" si="1"/>
        <v>7.5</v>
      </c>
      <c r="P9" s="13" t="str">
        <f t="shared" si="2"/>
        <v>gms</v>
      </c>
    </row>
    <row r="10" spans="2:16" ht="15.6" thickTop="1" thickBot="1" x14ac:dyDescent="0.35">
      <c r="K10" s="9"/>
      <c r="L10" s="4" t="s">
        <v>30</v>
      </c>
      <c r="M10" s="14">
        <v>2</v>
      </c>
      <c r="N10" s="6">
        <f t="shared" si="0"/>
        <v>0.02</v>
      </c>
      <c r="O10" s="12">
        <f t="shared" si="1"/>
        <v>3</v>
      </c>
      <c r="P10" s="13" t="str">
        <f t="shared" si="2"/>
        <v>gms</v>
      </c>
    </row>
    <row r="11" spans="2:16" ht="15.6" thickTop="1" thickBot="1" x14ac:dyDescent="0.35">
      <c r="B11" t="s">
        <v>31</v>
      </c>
      <c r="K11" s="9"/>
      <c r="L11" s="4" t="s">
        <v>32</v>
      </c>
      <c r="M11" s="14">
        <v>100</v>
      </c>
      <c r="N11" s="6">
        <f t="shared" si="0"/>
        <v>1</v>
      </c>
      <c r="O11" s="12">
        <f t="shared" si="1"/>
        <v>150</v>
      </c>
      <c r="P11" s="13" t="str">
        <f t="shared" si="2"/>
        <v>gms</v>
      </c>
    </row>
    <row r="12" spans="2:16" ht="44.4" thickTop="1" thickBot="1" x14ac:dyDescent="0.35">
      <c r="B12" s="1" t="s">
        <v>2</v>
      </c>
      <c r="C12" s="1" t="s">
        <v>3</v>
      </c>
      <c r="D12" s="1" t="s">
        <v>33</v>
      </c>
      <c r="E12" s="1" t="s">
        <v>5</v>
      </c>
      <c r="F12" s="1" t="s">
        <v>6</v>
      </c>
      <c r="G12" s="1" t="s">
        <v>7</v>
      </c>
      <c r="K12" s="9"/>
      <c r="L12" s="4" t="s">
        <v>34</v>
      </c>
      <c r="M12" s="14">
        <v>200</v>
      </c>
      <c r="N12" s="6">
        <f t="shared" si="0"/>
        <v>2</v>
      </c>
      <c r="O12" s="12">
        <f t="shared" si="1"/>
        <v>300</v>
      </c>
      <c r="P12" s="13" t="str">
        <f t="shared" si="2"/>
        <v>gms</v>
      </c>
    </row>
    <row r="13" spans="2:16" ht="15.6" thickTop="1" thickBot="1" x14ac:dyDescent="0.35">
      <c r="B13" s="3" t="s">
        <v>8</v>
      </c>
      <c r="C13" s="4" t="s">
        <v>9</v>
      </c>
      <c r="D13" s="5">
        <v>219</v>
      </c>
      <c r="E13" s="8">
        <f>D13</f>
        <v>219</v>
      </c>
      <c r="F13" s="7">
        <v>100</v>
      </c>
      <c r="G13" s="7" t="s">
        <v>11</v>
      </c>
      <c r="K13" s="9"/>
      <c r="L13" s="4" t="s">
        <v>35</v>
      </c>
      <c r="M13" s="10" t="s">
        <v>36</v>
      </c>
      <c r="N13" s="6"/>
      <c r="O13" s="12"/>
      <c r="P13" s="13"/>
    </row>
    <row r="14" spans="2:16" ht="15.6" thickTop="1" thickBot="1" x14ac:dyDescent="0.35">
      <c r="B14" s="9"/>
      <c r="C14" s="4" t="s">
        <v>37</v>
      </c>
      <c r="D14" s="14">
        <v>64</v>
      </c>
      <c r="E14" s="6">
        <f t="shared" ref="E14:E25" si="3">D14/BaseCake</f>
        <v>0.29223744292237441</v>
      </c>
      <c r="F14" s="12">
        <f t="shared" ref="F14:F24" si="4">E14*CakeFlour</f>
        <v>29.223744292237441</v>
      </c>
      <c r="G14" s="13" t="str">
        <f t="shared" ref="G14:G25" si="5">Munit</f>
        <v>gms</v>
      </c>
      <c r="K14" s="9"/>
      <c r="L14" s="4" t="s">
        <v>24</v>
      </c>
      <c r="M14" s="10" t="s">
        <v>36</v>
      </c>
      <c r="N14" s="6"/>
      <c r="O14" s="12"/>
      <c r="P14" s="13"/>
    </row>
    <row r="15" spans="2:16" ht="15.6" thickTop="1" thickBot="1" x14ac:dyDescent="0.35">
      <c r="B15" s="9"/>
      <c r="C15" s="4" t="s">
        <v>38</v>
      </c>
      <c r="D15" s="14">
        <v>7</v>
      </c>
      <c r="E15" s="6">
        <f t="shared" si="3"/>
        <v>3.1963470319634701E-2</v>
      </c>
      <c r="F15" s="12">
        <f t="shared" si="4"/>
        <v>3.1963470319634704</v>
      </c>
      <c r="G15" s="13" t="str">
        <f t="shared" si="5"/>
        <v>gms</v>
      </c>
      <c r="L15" s="15" t="s">
        <v>39</v>
      </c>
      <c r="M15" s="16">
        <f>SUM(M4:M14)</f>
        <v>614</v>
      </c>
      <c r="N15" s="17"/>
      <c r="O15" s="18">
        <f>SUM(O4:O14)</f>
        <v>921</v>
      </c>
      <c r="P15" s="19" t="str">
        <f t="shared" ref="P15" si="6">Munit</f>
        <v>gms</v>
      </c>
    </row>
    <row r="16" spans="2:16" ht="15.6" thickTop="1" thickBot="1" x14ac:dyDescent="0.35">
      <c r="B16" s="9"/>
      <c r="C16" s="4" t="s">
        <v>40</v>
      </c>
      <c r="D16" s="14">
        <v>9</v>
      </c>
      <c r="E16" s="6">
        <f t="shared" si="3"/>
        <v>4.1095890410958902E-2</v>
      </c>
      <c r="F16" s="12">
        <f t="shared" si="4"/>
        <v>4.10958904109589</v>
      </c>
      <c r="G16" s="13" t="str">
        <f t="shared" si="5"/>
        <v>gms</v>
      </c>
    </row>
    <row r="17" spans="2:17" ht="15.6" thickTop="1" thickBot="1" x14ac:dyDescent="0.35">
      <c r="B17" s="9"/>
      <c r="C17" s="4" t="s">
        <v>24</v>
      </c>
      <c r="D17" s="14">
        <v>6</v>
      </c>
      <c r="E17" s="6">
        <f t="shared" si="3"/>
        <v>2.7397260273972601E-2</v>
      </c>
      <c r="F17" s="12">
        <f t="shared" si="4"/>
        <v>2.7397260273972601</v>
      </c>
      <c r="G17" s="13" t="str">
        <f t="shared" si="5"/>
        <v>gms</v>
      </c>
    </row>
    <row r="18" spans="2:17" ht="15.6" thickTop="1" thickBot="1" x14ac:dyDescent="0.35">
      <c r="B18" s="9"/>
      <c r="C18" s="4" t="s">
        <v>41</v>
      </c>
      <c r="D18" s="14">
        <v>400</v>
      </c>
      <c r="E18" s="6">
        <f t="shared" si="3"/>
        <v>1.8264840182648401</v>
      </c>
      <c r="F18" s="12">
        <f t="shared" si="4"/>
        <v>182.64840182648402</v>
      </c>
      <c r="G18" s="13" t="str">
        <f t="shared" si="5"/>
        <v>gms</v>
      </c>
    </row>
    <row r="19" spans="2:17" ht="15.6" thickTop="1" thickBot="1" x14ac:dyDescent="0.35">
      <c r="B19" s="9" t="s">
        <v>42</v>
      </c>
      <c r="C19" s="4" t="s">
        <v>43</v>
      </c>
      <c r="D19" s="14">
        <v>120</v>
      </c>
      <c r="E19" s="6">
        <f t="shared" si="3"/>
        <v>0.54794520547945202</v>
      </c>
      <c r="F19" s="12">
        <f t="shared" si="4"/>
        <v>54.794520547945204</v>
      </c>
      <c r="G19" s="13" t="str">
        <f t="shared" si="5"/>
        <v>gms</v>
      </c>
      <c r="L19" t="s">
        <v>44</v>
      </c>
    </row>
    <row r="20" spans="2:17" ht="44.4" thickTop="1" thickBot="1" x14ac:dyDescent="0.35">
      <c r="B20" s="9" t="s">
        <v>45</v>
      </c>
      <c r="C20" s="4" t="s">
        <v>46</v>
      </c>
      <c r="D20" s="14">
        <v>12</v>
      </c>
      <c r="E20" s="6">
        <f t="shared" si="3"/>
        <v>5.4794520547945202E-2</v>
      </c>
      <c r="F20" s="12">
        <f t="shared" si="4"/>
        <v>5.4794520547945202</v>
      </c>
      <c r="G20" s="13" t="str">
        <f t="shared" si="5"/>
        <v>gms</v>
      </c>
      <c r="H20" s="20">
        <f>F20/2</f>
        <v>2.7397260273972601</v>
      </c>
      <c r="I20" s="9" t="s">
        <v>47</v>
      </c>
      <c r="L20" s="1" t="s">
        <v>2</v>
      </c>
      <c r="M20" s="1" t="s">
        <v>3</v>
      </c>
      <c r="N20" s="1" t="s">
        <v>4</v>
      </c>
      <c r="O20" s="1" t="s">
        <v>5</v>
      </c>
      <c r="P20" s="1" t="s">
        <v>6</v>
      </c>
      <c r="Q20" s="1" t="s">
        <v>7</v>
      </c>
    </row>
    <row r="21" spans="2:17" ht="15.6" thickTop="1" thickBot="1" x14ac:dyDescent="0.35">
      <c r="B21" s="9"/>
      <c r="C21" s="4" t="s">
        <v>48</v>
      </c>
      <c r="D21" s="14">
        <v>96</v>
      </c>
      <c r="E21" s="6">
        <f t="shared" si="3"/>
        <v>0.43835616438356162</v>
      </c>
      <c r="F21" s="12">
        <f t="shared" si="4"/>
        <v>43.835616438356162</v>
      </c>
      <c r="G21" s="13" t="str">
        <f t="shared" si="5"/>
        <v>gms</v>
      </c>
      <c r="L21" s="3" t="s">
        <v>8</v>
      </c>
      <c r="M21" s="4" t="s">
        <v>12</v>
      </c>
      <c r="N21" s="5">
        <v>100</v>
      </c>
      <c r="O21" s="8">
        <f>N21</f>
        <v>100</v>
      </c>
      <c r="P21" s="7">
        <v>150</v>
      </c>
      <c r="Q21" s="7" t="s">
        <v>11</v>
      </c>
    </row>
    <row r="22" spans="2:17" ht="15.6" thickTop="1" thickBot="1" x14ac:dyDescent="0.35">
      <c r="B22" s="9" t="s">
        <v>49</v>
      </c>
      <c r="C22" s="4" t="s">
        <v>50</v>
      </c>
      <c r="D22" s="14">
        <v>241.55</v>
      </c>
      <c r="E22" s="6">
        <f t="shared" si="3"/>
        <v>1.1029680365296803</v>
      </c>
      <c r="F22" s="12">
        <f t="shared" si="4"/>
        <v>110.29680365296804</v>
      </c>
      <c r="G22" s="13" t="str">
        <f t="shared" si="5"/>
        <v>gms</v>
      </c>
      <c r="L22" s="9"/>
      <c r="M22" s="4" t="s">
        <v>15</v>
      </c>
      <c r="N22" s="14">
        <v>50</v>
      </c>
      <c r="O22" s="6">
        <f t="shared" ref="O22:O29" si="7">N22/BasePaavBhaji</f>
        <v>0.5</v>
      </c>
      <c r="P22" s="12">
        <f t="shared" ref="P22:P29" si="8">O22*PaavBhajiTBM</f>
        <v>75</v>
      </c>
      <c r="Q22" s="13" t="str">
        <f t="shared" ref="Q22:Q29" si="9">Munit</f>
        <v>gms</v>
      </c>
    </row>
    <row r="23" spans="2:17" ht="15.6" thickTop="1" thickBot="1" x14ac:dyDescent="0.35">
      <c r="B23" s="9" t="s">
        <v>51</v>
      </c>
      <c r="C23" s="4" t="s">
        <v>52</v>
      </c>
      <c r="D23" s="14">
        <v>240</v>
      </c>
      <c r="E23" s="6">
        <f t="shared" si="3"/>
        <v>1.095890410958904</v>
      </c>
      <c r="F23" s="12">
        <f t="shared" si="4"/>
        <v>109.58904109589041</v>
      </c>
      <c r="G23" s="13" t="str">
        <f t="shared" si="5"/>
        <v>gms</v>
      </c>
      <c r="L23" s="9"/>
      <c r="M23" s="4" t="s">
        <v>19</v>
      </c>
      <c r="N23" s="14">
        <v>50</v>
      </c>
      <c r="O23" s="6">
        <f t="shared" si="7"/>
        <v>0.5</v>
      </c>
      <c r="P23" s="12">
        <f t="shared" si="8"/>
        <v>75</v>
      </c>
      <c r="Q23" s="13" t="str">
        <f t="shared" si="9"/>
        <v>gms</v>
      </c>
    </row>
    <row r="24" spans="2:17" ht="15.6" thickTop="1" thickBot="1" x14ac:dyDescent="0.35">
      <c r="B24" s="9"/>
      <c r="C24" s="4" t="s">
        <v>53</v>
      </c>
      <c r="D24" s="14">
        <v>12</v>
      </c>
      <c r="E24" s="6">
        <f t="shared" si="3"/>
        <v>5.4794520547945202E-2</v>
      </c>
      <c r="F24" s="12">
        <f t="shared" si="4"/>
        <v>5.4794520547945202</v>
      </c>
      <c r="G24" s="13" t="str">
        <f t="shared" si="5"/>
        <v>gms</v>
      </c>
      <c r="L24" s="9"/>
      <c r="M24" s="4" t="s">
        <v>23</v>
      </c>
      <c r="N24" s="14">
        <v>100</v>
      </c>
      <c r="O24" s="6">
        <f t="shared" si="7"/>
        <v>1</v>
      </c>
      <c r="P24" s="12">
        <f t="shared" si="8"/>
        <v>150</v>
      </c>
      <c r="Q24" s="13" t="str">
        <f t="shared" si="9"/>
        <v>gms</v>
      </c>
    </row>
    <row r="25" spans="2:17" ht="15.6" thickTop="1" thickBot="1" x14ac:dyDescent="0.35">
      <c r="B25" s="21"/>
      <c r="C25" s="15" t="s">
        <v>39</v>
      </c>
      <c r="D25" s="16">
        <f>SUM(D13:D24)</f>
        <v>1426.55</v>
      </c>
      <c r="E25" s="17">
        <f t="shared" si="3"/>
        <v>6.5139269406392692</v>
      </c>
      <c r="F25" s="18">
        <f>SUM(F13:F24)</f>
        <v>651.39269406392691</v>
      </c>
      <c r="G25" s="19" t="str">
        <f t="shared" si="5"/>
        <v>gms</v>
      </c>
      <c r="L25" s="9"/>
      <c r="M25" s="4" t="s">
        <v>26</v>
      </c>
      <c r="N25" s="14">
        <v>7</v>
      </c>
      <c r="O25" s="6">
        <f t="shared" si="7"/>
        <v>7.0000000000000007E-2</v>
      </c>
      <c r="P25" s="12">
        <f t="shared" si="8"/>
        <v>10.500000000000002</v>
      </c>
      <c r="Q25" s="13" t="str">
        <f t="shared" si="9"/>
        <v>gms</v>
      </c>
    </row>
    <row r="26" spans="2:17" ht="15.6" thickTop="1" thickBot="1" x14ac:dyDescent="0.35">
      <c r="L26" s="9"/>
      <c r="M26" s="4" t="s">
        <v>29</v>
      </c>
      <c r="N26" s="14">
        <v>5</v>
      </c>
      <c r="O26" s="6">
        <f t="shared" si="7"/>
        <v>0.05</v>
      </c>
      <c r="P26" s="12">
        <f t="shared" si="8"/>
        <v>7.5</v>
      </c>
      <c r="Q26" s="13" t="str">
        <f t="shared" si="9"/>
        <v>gms</v>
      </c>
    </row>
    <row r="27" spans="2:17" ht="15.6" thickTop="1" thickBot="1" x14ac:dyDescent="0.35">
      <c r="L27" s="9"/>
      <c r="M27" s="4" t="s">
        <v>30</v>
      </c>
      <c r="N27" s="14">
        <v>2</v>
      </c>
      <c r="O27" s="6">
        <f t="shared" si="7"/>
        <v>0.02</v>
      </c>
      <c r="P27" s="12">
        <f t="shared" si="8"/>
        <v>3</v>
      </c>
      <c r="Q27" s="13" t="str">
        <f t="shared" si="9"/>
        <v>gms</v>
      </c>
    </row>
    <row r="28" spans="2:17" ht="15.6" thickTop="1" thickBot="1" x14ac:dyDescent="0.35">
      <c r="B28" t="s">
        <v>54</v>
      </c>
      <c r="L28" s="9"/>
      <c r="M28" s="4" t="s">
        <v>32</v>
      </c>
      <c r="N28" s="14">
        <v>100</v>
      </c>
      <c r="O28" s="6">
        <f t="shared" si="7"/>
        <v>1</v>
      </c>
      <c r="P28" s="12">
        <f t="shared" si="8"/>
        <v>150</v>
      </c>
      <c r="Q28" s="13" t="str">
        <f t="shared" si="9"/>
        <v>gms</v>
      </c>
    </row>
    <row r="29" spans="2:17" ht="30" thickTop="1" thickBot="1" x14ac:dyDescent="0.35">
      <c r="B29" s="1" t="s">
        <v>2</v>
      </c>
      <c r="C29" s="1" t="s">
        <v>3</v>
      </c>
      <c r="D29" s="1" t="s">
        <v>4</v>
      </c>
      <c r="E29" s="1" t="s">
        <v>5</v>
      </c>
      <c r="F29" s="1" t="s">
        <v>6</v>
      </c>
      <c r="G29" s="1" t="s">
        <v>7</v>
      </c>
      <c r="I29" s="22" t="s">
        <v>55</v>
      </c>
      <c r="L29" s="9"/>
      <c r="M29" s="4" t="s">
        <v>34</v>
      </c>
      <c r="N29" s="14">
        <v>200</v>
      </c>
      <c r="O29" s="6">
        <f t="shared" si="7"/>
        <v>2</v>
      </c>
      <c r="P29" s="12">
        <f t="shared" si="8"/>
        <v>300</v>
      </c>
      <c r="Q29" s="13" t="str">
        <f t="shared" si="9"/>
        <v>gms</v>
      </c>
    </row>
    <row r="30" spans="2:17" ht="16.8" thickTop="1" thickBot="1" x14ac:dyDescent="0.35">
      <c r="B30" s="3" t="s">
        <v>8</v>
      </c>
      <c r="C30" s="4" t="s">
        <v>56</v>
      </c>
      <c r="D30" s="5">
        <v>1000</v>
      </c>
      <c r="E30" s="8">
        <f>D30</f>
        <v>1000</v>
      </c>
      <c r="F30" s="7">
        <v>500</v>
      </c>
      <c r="G30" s="7" t="s">
        <v>11</v>
      </c>
      <c r="I30" s="22" t="s">
        <v>57</v>
      </c>
      <c r="L30" s="9"/>
      <c r="M30" s="4" t="s">
        <v>35</v>
      </c>
      <c r="N30" s="10" t="s">
        <v>36</v>
      </c>
      <c r="O30" s="6"/>
      <c r="P30" s="12"/>
      <c r="Q30" s="13"/>
    </row>
    <row r="31" spans="2:17" ht="16.8" thickTop="1" thickBot="1" x14ac:dyDescent="0.35">
      <c r="B31" s="3"/>
      <c r="C31" s="4" t="s">
        <v>58</v>
      </c>
      <c r="D31" s="14">
        <v>200</v>
      </c>
      <c r="E31" s="6">
        <f t="shared" ref="E31:E39" si="10">D31/BaseStock</f>
        <v>0.2</v>
      </c>
      <c r="F31" s="12">
        <f t="shared" ref="F31:F39" si="11">E31*StockTBM</f>
        <v>100</v>
      </c>
      <c r="G31" s="13" t="str">
        <f t="shared" ref="G31:G39" si="12">Munit</f>
        <v>gms</v>
      </c>
      <c r="I31" s="22"/>
      <c r="L31" s="9"/>
      <c r="M31" s="4" t="s">
        <v>24</v>
      </c>
      <c r="N31" s="10" t="s">
        <v>36</v>
      </c>
      <c r="O31" s="6"/>
      <c r="P31" s="12"/>
      <c r="Q31" s="13"/>
    </row>
    <row r="32" spans="2:17" ht="16.8" thickTop="1" thickBot="1" x14ac:dyDescent="0.35">
      <c r="B32" s="9"/>
      <c r="C32" s="4" t="s">
        <v>59</v>
      </c>
      <c r="D32" s="14">
        <v>100</v>
      </c>
      <c r="E32" s="6">
        <f t="shared" si="10"/>
        <v>0.1</v>
      </c>
      <c r="F32" s="12">
        <f t="shared" si="11"/>
        <v>50</v>
      </c>
      <c r="G32" s="13" t="str">
        <f t="shared" si="12"/>
        <v>gms</v>
      </c>
      <c r="I32" s="22" t="s">
        <v>60</v>
      </c>
      <c r="M32" s="15" t="s">
        <v>39</v>
      </c>
      <c r="N32" s="16">
        <f>SUM(N21:N31)</f>
        <v>614</v>
      </c>
      <c r="O32" s="17"/>
      <c r="P32" s="18">
        <f>SUM(P21:P31)</f>
        <v>921</v>
      </c>
      <c r="Q32" s="19" t="str">
        <f t="shared" ref="Q32" si="13">Munit</f>
        <v>gms</v>
      </c>
    </row>
    <row r="33" spans="2:9" ht="16.8" thickTop="1" thickBot="1" x14ac:dyDescent="0.35">
      <c r="B33" s="9"/>
      <c r="C33" s="4" t="s">
        <v>61</v>
      </c>
      <c r="D33" s="14">
        <v>100</v>
      </c>
      <c r="E33" s="6">
        <f t="shared" si="10"/>
        <v>0.1</v>
      </c>
      <c r="F33" s="12">
        <f t="shared" si="11"/>
        <v>50</v>
      </c>
      <c r="G33" s="13" t="str">
        <f t="shared" si="12"/>
        <v>gms</v>
      </c>
      <c r="I33" s="22" t="s">
        <v>62</v>
      </c>
    </row>
    <row r="34" spans="2:9" ht="16.8" thickTop="1" thickBot="1" x14ac:dyDescent="0.35">
      <c r="B34" s="9"/>
      <c r="C34" s="4" t="s">
        <v>63</v>
      </c>
      <c r="D34" s="14">
        <v>30</v>
      </c>
      <c r="E34" s="6">
        <f t="shared" si="10"/>
        <v>0.03</v>
      </c>
      <c r="F34" s="12">
        <f t="shared" si="11"/>
        <v>15</v>
      </c>
      <c r="G34" s="13" t="s">
        <v>64</v>
      </c>
      <c r="I34" s="22" t="s">
        <v>65</v>
      </c>
    </row>
    <row r="35" spans="2:9" ht="16.8" thickTop="1" thickBot="1" x14ac:dyDescent="0.35">
      <c r="B35" s="9"/>
      <c r="C35" s="4" t="s">
        <v>66</v>
      </c>
      <c r="D35" s="14">
        <v>1000</v>
      </c>
      <c r="E35" s="6">
        <f t="shared" si="10"/>
        <v>1</v>
      </c>
      <c r="F35" s="12">
        <f t="shared" si="11"/>
        <v>500</v>
      </c>
      <c r="G35" s="13" t="str">
        <f t="shared" si="12"/>
        <v>gms</v>
      </c>
      <c r="I35" s="22" t="s">
        <v>67</v>
      </c>
    </row>
    <row r="36" spans="2:9" ht="16.8" thickTop="1" thickBot="1" x14ac:dyDescent="0.35">
      <c r="B36" s="9"/>
      <c r="C36" s="4" t="s">
        <v>68</v>
      </c>
      <c r="D36" s="14">
        <v>2</v>
      </c>
      <c r="E36" s="6">
        <f t="shared" si="10"/>
        <v>2E-3</v>
      </c>
      <c r="F36" s="12">
        <f t="shared" si="11"/>
        <v>1</v>
      </c>
      <c r="G36" s="13"/>
      <c r="I36" s="22" t="s">
        <v>69</v>
      </c>
    </row>
    <row r="37" spans="2:9" ht="16.8" thickTop="1" thickBot="1" x14ac:dyDescent="0.35">
      <c r="B37" s="9"/>
      <c r="C37" s="4" t="s">
        <v>70</v>
      </c>
      <c r="D37" s="14">
        <v>5</v>
      </c>
      <c r="E37" s="6">
        <f t="shared" si="10"/>
        <v>5.0000000000000001E-3</v>
      </c>
      <c r="F37" s="12">
        <f t="shared" si="11"/>
        <v>2.5</v>
      </c>
      <c r="G37" s="13"/>
      <c r="I37" s="22" t="s">
        <v>71</v>
      </c>
    </row>
    <row r="38" spans="2:9" ht="16.8" thickTop="1" thickBot="1" x14ac:dyDescent="0.35">
      <c r="B38" s="9"/>
      <c r="C38" s="4" t="s">
        <v>72</v>
      </c>
      <c r="D38" s="14">
        <v>10</v>
      </c>
      <c r="E38" s="6">
        <f t="shared" si="10"/>
        <v>0.01</v>
      </c>
      <c r="F38" s="12">
        <f t="shared" si="11"/>
        <v>5</v>
      </c>
      <c r="G38" s="13" t="str">
        <f t="shared" si="12"/>
        <v>gms</v>
      </c>
      <c r="I38" s="22" t="s">
        <v>73</v>
      </c>
    </row>
    <row r="39" spans="2:9" ht="16.8" thickTop="1" thickBot="1" x14ac:dyDescent="0.35">
      <c r="B39" s="9"/>
      <c r="C39" s="4" t="s">
        <v>74</v>
      </c>
      <c r="D39" s="14">
        <v>10</v>
      </c>
      <c r="E39" s="6">
        <f t="shared" si="10"/>
        <v>0.01</v>
      </c>
      <c r="F39" s="12">
        <f t="shared" si="11"/>
        <v>5</v>
      </c>
      <c r="G39" s="13" t="str">
        <f t="shared" si="12"/>
        <v>gms</v>
      </c>
      <c r="I39" s="22" t="s">
        <v>75</v>
      </c>
    </row>
    <row r="40" spans="2:9" ht="15.6" thickTop="1" thickBot="1" x14ac:dyDescent="0.35">
      <c r="B40" s="9"/>
      <c r="C40" s="4" t="s">
        <v>24</v>
      </c>
      <c r="D40" s="10" t="s">
        <v>36</v>
      </c>
      <c r="E40" s="6"/>
      <c r="F40" s="12"/>
      <c r="G40" s="13"/>
    </row>
    <row r="41" spans="2:9" ht="15.6" thickTop="1" thickBot="1" x14ac:dyDescent="0.35">
      <c r="C41" s="15" t="s">
        <v>39</v>
      </c>
      <c r="D41" s="16">
        <f>SUM(D30:D40)</f>
        <v>2457</v>
      </c>
      <c r="E41" s="17"/>
      <c r="F41" s="18">
        <f>SUM(F30:F40)</f>
        <v>1228.5</v>
      </c>
      <c r="G41" s="19" t="str">
        <f t="shared" ref="G41" si="14">Munit</f>
        <v>gms</v>
      </c>
    </row>
    <row r="42" spans="2:9" ht="15" thickTop="1" x14ac:dyDescent="0.3"/>
    <row r="44" spans="2:9" ht="15.6" x14ac:dyDescent="0.3">
      <c r="B44" t="s">
        <v>76</v>
      </c>
      <c r="I44" s="22" t="s">
        <v>77</v>
      </c>
    </row>
    <row r="45" spans="2:9" ht="29.4" thickBot="1" x14ac:dyDescent="0.35"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I45" s="22" t="s">
        <v>78</v>
      </c>
    </row>
    <row r="46" spans="2:9" ht="16.8" thickTop="1" thickBot="1" x14ac:dyDescent="0.35">
      <c r="B46" s="3" t="s">
        <v>8</v>
      </c>
      <c r="C46" s="4" t="s">
        <v>58</v>
      </c>
      <c r="D46" s="5">
        <v>500</v>
      </c>
      <c r="E46" s="8">
        <f>D46</f>
        <v>500</v>
      </c>
      <c r="F46" s="7">
        <v>80</v>
      </c>
      <c r="G46" s="7" t="s">
        <v>11</v>
      </c>
      <c r="I46" s="22" t="s">
        <v>79</v>
      </c>
    </row>
    <row r="47" spans="2:9" ht="16.8" thickTop="1" thickBot="1" x14ac:dyDescent="0.35">
      <c r="B47" s="9"/>
      <c r="C47" s="4" t="s">
        <v>59</v>
      </c>
      <c r="D47" s="14">
        <v>250</v>
      </c>
      <c r="E47" s="6">
        <f t="shared" ref="E47:E55" si="15">D47/BaseVegStock</f>
        <v>0.5</v>
      </c>
      <c r="F47" s="12">
        <f t="shared" ref="F47:F55" si="16">E47*VegStockTBM</f>
        <v>40</v>
      </c>
      <c r="G47" s="13" t="str">
        <f t="shared" ref="G47:G55" si="17">Munit</f>
        <v>gms</v>
      </c>
      <c r="I47" s="22" t="s">
        <v>80</v>
      </c>
    </row>
    <row r="48" spans="2:9" ht="16.8" thickTop="1" thickBot="1" x14ac:dyDescent="0.35">
      <c r="B48" s="9"/>
      <c r="C48" s="4" t="s">
        <v>61</v>
      </c>
      <c r="D48" s="14">
        <v>250</v>
      </c>
      <c r="E48" s="6">
        <f t="shared" si="15"/>
        <v>0.5</v>
      </c>
      <c r="F48" s="12">
        <f t="shared" si="16"/>
        <v>40</v>
      </c>
      <c r="G48" s="13" t="str">
        <f t="shared" si="17"/>
        <v>gms</v>
      </c>
      <c r="I48" s="22" t="s">
        <v>81</v>
      </c>
    </row>
    <row r="49" spans="2:9" ht="16.8" thickTop="1" thickBot="1" x14ac:dyDescent="0.35">
      <c r="B49" s="9"/>
      <c r="C49" s="4" t="s">
        <v>82</v>
      </c>
      <c r="D49" s="14">
        <v>150</v>
      </c>
      <c r="E49" s="6">
        <f t="shared" si="15"/>
        <v>0.3</v>
      </c>
      <c r="F49" s="12">
        <f t="shared" si="16"/>
        <v>24</v>
      </c>
      <c r="G49" s="13" t="s">
        <v>11</v>
      </c>
      <c r="I49" s="22" t="s">
        <v>83</v>
      </c>
    </row>
    <row r="50" spans="2:9" ht="16.8" thickTop="1" thickBot="1" x14ac:dyDescent="0.35">
      <c r="B50" s="9"/>
      <c r="C50" s="4" t="s">
        <v>84</v>
      </c>
      <c r="D50" s="14">
        <v>10</v>
      </c>
      <c r="E50" s="6">
        <f t="shared" si="15"/>
        <v>0.02</v>
      </c>
      <c r="F50" s="12">
        <f t="shared" si="16"/>
        <v>1.6</v>
      </c>
      <c r="G50" s="13"/>
      <c r="I50" s="22" t="s">
        <v>69</v>
      </c>
    </row>
    <row r="51" spans="2:9" ht="16.8" thickTop="1" thickBot="1" x14ac:dyDescent="0.35">
      <c r="B51" s="9"/>
      <c r="C51" s="4" t="s">
        <v>66</v>
      </c>
      <c r="D51" s="14">
        <v>1500</v>
      </c>
      <c r="E51" s="6">
        <f t="shared" si="15"/>
        <v>3</v>
      </c>
      <c r="F51" s="12">
        <f t="shared" si="16"/>
        <v>240</v>
      </c>
      <c r="G51" s="13" t="str">
        <f t="shared" si="17"/>
        <v>gms</v>
      </c>
      <c r="I51" s="22" t="s">
        <v>71</v>
      </c>
    </row>
    <row r="52" spans="2:9" ht="16.8" thickTop="1" thickBot="1" x14ac:dyDescent="0.35">
      <c r="B52" s="9"/>
      <c r="C52" s="4" t="s">
        <v>68</v>
      </c>
      <c r="D52" s="14">
        <v>2</v>
      </c>
      <c r="E52" s="6">
        <f t="shared" si="15"/>
        <v>4.0000000000000001E-3</v>
      </c>
      <c r="F52" s="12">
        <f t="shared" si="16"/>
        <v>0.32</v>
      </c>
      <c r="G52" s="13"/>
      <c r="I52" s="22" t="s">
        <v>73</v>
      </c>
    </row>
    <row r="53" spans="2:9" ht="16.8" thickTop="1" thickBot="1" x14ac:dyDescent="0.35">
      <c r="B53" s="9"/>
      <c r="C53" s="4" t="s">
        <v>70</v>
      </c>
      <c r="D53" s="14">
        <v>5</v>
      </c>
      <c r="E53" s="6">
        <f t="shared" si="15"/>
        <v>0.01</v>
      </c>
      <c r="F53" s="12">
        <f t="shared" si="16"/>
        <v>0.8</v>
      </c>
      <c r="G53" s="13"/>
      <c r="I53" s="23" t="s">
        <v>75</v>
      </c>
    </row>
    <row r="54" spans="2:9" ht="15.6" thickTop="1" thickBot="1" x14ac:dyDescent="0.35">
      <c r="B54" s="9"/>
      <c r="C54" s="4" t="s">
        <v>72</v>
      </c>
      <c r="D54" s="14">
        <v>10</v>
      </c>
      <c r="E54" s="6">
        <f t="shared" si="15"/>
        <v>0.02</v>
      </c>
      <c r="F54" s="12">
        <f t="shared" si="16"/>
        <v>1.6</v>
      </c>
      <c r="G54" s="13" t="str">
        <f t="shared" si="17"/>
        <v>gms</v>
      </c>
    </row>
    <row r="55" spans="2:9" ht="15.6" thickTop="1" thickBot="1" x14ac:dyDescent="0.35">
      <c r="B55" s="9"/>
      <c r="C55" s="4" t="s">
        <v>74</v>
      </c>
      <c r="D55" s="14">
        <v>10</v>
      </c>
      <c r="E55" s="6">
        <f t="shared" si="15"/>
        <v>0.02</v>
      </c>
      <c r="F55" s="12">
        <f t="shared" si="16"/>
        <v>1.6</v>
      </c>
      <c r="G55" s="13" t="str">
        <f t="shared" si="17"/>
        <v>gms</v>
      </c>
    </row>
    <row r="56" spans="2:9" ht="15.6" thickTop="1" thickBot="1" x14ac:dyDescent="0.35">
      <c r="B56" s="9"/>
      <c r="C56" s="4" t="s">
        <v>24</v>
      </c>
      <c r="D56" s="10" t="s">
        <v>36</v>
      </c>
      <c r="E56" s="6"/>
      <c r="F56" s="12"/>
      <c r="G56" s="13"/>
    </row>
    <row r="57" spans="2:9" ht="15.6" thickTop="1" thickBot="1" x14ac:dyDescent="0.35">
      <c r="C57" s="15" t="s">
        <v>39</v>
      </c>
      <c r="D57" s="16">
        <f>SUM(D46:D56)</f>
        <v>2687</v>
      </c>
      <c r="E57" s="17"/>
      <c r="F57" s="18">
        <f>SUM(F46:F56)</f>
        <v>429.92000000000007</v>
      </c>
      <c r="G57" s="19" t="str">
        <f t="shared" ref="G57" si="18">Munit</f>
        <v>gms</v>
      </c>
    </row>
    <row r="58" spans="2:9" ht="15" thickTop="1" x14ac:dyDescent="0.3"/>
    <row r="59" spans="2:9" x14ac:dyDescent="0.3">
      <c r="B59" t="s">
        <v>85</v>
      </c>
    </row>
    <row r="60" spans="2:9" ht="29.4" thickBot="1" x14ac:dyDescent="0.35"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</row>
    <row r="61" spans="2:9" ht="15.6" thickTop="1" thickBot="1" x14ac:dyDescent="0.35">
      <c r="B61" s="3" t="s">
        <v>86</v>
      </c>
      <c r="C61" s="4"/>
      <c r="D61" s="5"/>
      <c r="E61" s="8">
        <v>3</v>
      </c>
      <c r="F61" s="7">
        <v>2</v>
      </c>
      <c r="G61" s="7"/>
    </row>
    <row r="62" spans="2:9" ht="15.6" thickTop="1" thickBot="1" x14ac:dyDescent="0.35">
      <c r="B62" s="9"/>
      <c r="C62" s="4" t="s">
        <v>32</v>
      </c>
      <c r="D62" s="14">
        <v>150</v>
      </c>
      <c r="E62" s="24">
        <f t="shared" ref="E62:E72" si="19">D62/BaseMinistrone</f>
        <v>50</v>
      </c>
      <c r="F62" s="25">
        <f t="shared" ref="F62:F75" si="20">E62*MinistroneTBM</f>
        <v>100</v>
      </c>
      <c r="G62" s="13" t="s">
        <v>11</v>
      </c>
    </row>
    <row r="63" spans="2:9" ht="15.6" thickTop="1" thickBot="1" x14ac:dyDescent="0.35">
      <c r="B63" s="9"/>
      <c r="C63" s="4" t="s">
        <v>87</v>
      </c>
      <c r="D63" s="14">
        <v>200</v>
      </c>
      <c r="E63" s="24">
        <f t="shared" si="19"/>
        <v>66.666666666666671</v>
      </c>
      <c r="F63" s="25">
        <f t="shared" si="20"/>
        <v>133.33333333333334</v>
      </c>
      <c r="G63" s="13" t="str">
        <f t="shared" ref="G63:G75" si="21">Munit</f>
        <v>gms</v>
      </c>
    </row>
    <row r="64" spans="2:9" ht="15.6" thickTop="1" thickBot="1" x14ac:dyDescent="0.35">
      <c r="B64" s="9"/>
      <c r="C64" s="4" t="s">
        <v>88</v>
      </c>
      <c r="D64" s="14">
        <v>100</v>
      </c>
      <c r="E64" s="24">
        <f t="shared" si="19"/>
        <v>33.333333333333336</v>
      </c>
      <c r="F64" s="25">
        <f t="shared" si="20"/>
        <v>66.666666666666671</v>
      </c>
      <c r="G64" s="13" t="str">
        <f t="shared" si="21"/>
        <v>gms</v>
      </c>
    </row>
    <row r="65" spans="2:7" ht="15.6" thickTop="1" thickBot="1" x14ac:dyDescent="0.35">
      <c r="B65" s="9"/>
      <c r="C65" s="4" t="s">
        <v>29</v>
      </c>
      <c r="D65" s="14">
        <v>10</v>
      </c>
      <c r="E65" s="24">
        <f t="shared" si="19"/>
        <v>3.3333333333333335</v>
      </c>
      <c r="F65" s="25">
        <f t="shared" si="20"/>
        <v>6.666666666666667</v>
      </c>
      <c r="G65" s="13" t="s">
        <v>11</v>
      </c>
    </row>
    <row r="66" spans="2:7" ht="15.6" thickTop="1" thickBot="1" x14ac:dyDescent="0.35">
      <c r="B66" s="9"/>
      <c r="C66" s="4" t="s">
        <v>89</v>
      </c>
      <c r="D66" s="14">
        <v>200</v>
      </c>
      <c r="E66" s="24">
        <f t="shared" si="19"/>
        <v>66.666666666666671</v>
      </c>
      <c r="F66" s="25">
        <f t="shared" si="20"/>
        <v>133.33333333333334</v>
      </c>
      <c r="G66" s="13" t="s">
        <v>11</v>
      </c>
    </row>
    <row r="67" spans="2:7" ht="15.6" thickTop="1" thickBot="1" x14ac:dyDescent="0.35">
      <c r="B67" s="9"/>
      <c r="C67" s="4" t="s">
        <v>90</v>
      </c>
      <c r="D67" s="14">
        <v>400</v>
      </c>
      <c r="E67" s="24">
        <f t="shared" si="19"/>
        <v>133.33333333333334</v>
      </c>
      <c r="F67" s="25">
        <f t="shared" si="20"/>
        <v>266.66666666666669</v>
      </c>
      <c r="G67" s="13" t="str">
        <f t="shared" si="21"/>
        <v>gms</v>
      </c>
    </row>
    <row r="68" spans="2:7" ht="15.6" thickTop="1" thickBot="1" x14ac:dyDescent="0.35">
      <c r="B68" s="9"/>
      <c r="C68" s="4" t="s">
        <v>52</v>
      </c>
      <c r="D68" s="14">
        <v>1000</v>
      </c>
      <c r="E68" s="24">
        <f t="shared" si="19"/>
        <v>333.33333333333331</v>
      </c>
      <c r="F68" s="25">
        <f t="shared" si="20"/>
        <v>666.66666666666663</v>
      </c>
      <c r="G68" s="13"/>
    </row>
    <row r="69" spans="2:7" ht="15.6" thickTop="1" thickBot="1" x14ac:dyDescent="0.35">
      <c r="B69" s="9"/>
      <c r="C69" s="4" t="s">
        <v>91</v>
      </c>
      <c r="D69" s="14">
        <v>100</v>
      </c>
      <c r="E69" s="24">
        <f t="shared" si="19"/>
        <v>33.333333333333336</v>
      </c>
      <c r="F69" s="25">
        <f t="shared" si="20"/>
        <v>66.666666666666671</v>
      </c>
      <c r="G69" s="13"/>
    </row>
    <row r="70" spans="2:7" ht="15.6" thickTop="1" thickBot="1" x14ac:dyDescent="0.35">
      <c r="B70" s="9"/>
      <c r="C70" s="4" t="s">
        <v>92</v>
      </c>
      <c r="D70" s="14">
        <v>400</v>
      </c>
      <c r="E70" s="24">
        <f t="shared" si="19"/>
        <v>133.33333333333334</v>
      </c>
      <c r="F70" s="25">
        <f t="shared" si="20"/>
        <v>266.66666666666669</v>
      </c>
      <c r="G70" s="13" t="str">
        <f t="shared" si="21"/>
        <v>gms</v>
      </c>
    </row>
    <row r="71" spans="2:7" ht="15.6" thickTop="1" thickBot="1" x14ac:dyDescent="0.35">
      <c r="B71" s="9"/>
      <c r="C71" s="4" t="s">
        <v>93</v>
      </c>
      <c r="D71" s="14">
        <v>3</v>
      </c>
      <c r="E71" s="24">
        <f t="shared" si="19"/>
        <v>1</v>
      </c>
      <c r="F71" s="25">
        <f t="shared" si="20"/>
        <v>2</v>
      </c>
      <c r="G71" s="13" t="str">
        <f t="shared" si="21"/>
        <v>gms</v>
      </c>
    </row>
    <row r="72" spans="2:7" ht="15.6" thickTop="1" thickBot="1" x14ac:dyDescent="0.35">
      <c r="B72" s="9"/>
      <c r="C72" s="4" t="s">
        <v>94</v>
      </c>
      <c r="D72" s="10">
        <v>3</v>
      </c>
      <c r="E72" s="24">
        <f t="shared" si="19"/>
        <v>1</v>
      </c>
      <c r="F72" s="25">
        <f t="shared" si="20"/>
        <v>2</v>
      </c>
      <c r="G72" s="13" t="str">
        <f t="shared" si="21"/>
        <v>gms</v>
      </c>
    </row>
    <row r="73" spans="2:7" ht="15.6" thickTop="1" thickBot="1" x14ac:dyDescent="0.35">
      <c r="B73" s="9"/>
      <c r="C73" s="4" t="s">
        <v>95</v>
      </c>
      <c r="D73" s="10" t="s">
        <v>36</v>
      </c>
      <c r="E73" s="24"/>
      <c r="F73" s="25">
        <f t="shared" si="20"/>
        <v>0</v>
      </c>
      <c r="G73" s="13" t="str">
        <f t="shared" si="21"/>
        <v>gms</v>
      </c>
    </row>
    <row r="74" spans="2:7" ht="15.6" thickTop="1" thickBot="1" x14ac:dyDescent="0.35">
      <c r="B74" s="9"/>
      <c r="C74" s="4" t="s">
        <v>96</v>
      </c>
      <c r="D74" s="10">
        <v>30</v>
      </c>
      <c r="E74" s="24">
        <f>D74/BaseMinistrone</f>
        <v>10</v>
      </c>
      <c r="F74" s="25">
        <f t="shared" si="20"/>
        <v>20</v>
      </c>
      <c r="G74" s="13" t="str">
        <f t="shared" si="21"/>
        <v>gms</v>
      </c>
    </row>
    <row r="75" spans="2:7" ht="15.6" thickTop="1" thickBot="1" x14ac:dyDescent="0.35">
      <c r="B75" s="9"/>
      <c r="C75" s="4" t="s">
        <v>97</v>
      </c>
      <c r="D75" s="10">
        <v>5</v>
      </c>
      <c r="E75" s="24">
        <f>D75/BaseMinistrone</f>
        <v>1.6666666666666667</v>
      </c>
      <c r="F75" s="25">
        <f t="shared" si="20"/>
        <v>3.3333333333333335</v>
      </c>
      <c r="G75" s="13" t="str">
        <f t="shared" si="21"/>
        <v>gms</v>
      </c>
    </row>
    <row r="76" spans="2:7" ht="15.6" thickTop="1" thickBot="1" x14ac:dyDescent="0.35">
      <c r="C76" s="15" t="s">
        <v>39</v>
      </c>
      <c r="D76" s="16">
        <f>SUM(D62:D72)</f>
        <v>2566</v>
      </c>
      <c r="E76" s="17"/>
      <c r="F76" s="18">
        <f>SUM(F62:F72)</f>
        <v>1710.666666666667</v>
      </c>
      <c r="G76" s="19" t="str">
        <f t="shared" ref="G76" si="22">Munit</f>
        <v>gms</v>
      </c>
    </row>
    <row r="77" spans="2:7" ht="15" thickTop="1" x14ac:dyDescent="0.3"/>
    <row r="79" spans="2:7" x14ac:dyDescent="0.3">
      <c r="B79" t="s">
        <v>98</v>
      </c>
    </row>
    <row r="80" spans="2:7" ht="29.4" thickBot="1" x14ac:dyDescent="0.35">
      <c r="B80" s="1" t="s">
        <v>2</v>
      </c>
      <c r="C80" s="1" t="s">
        <v>3</v>
      </c>
      <c r="D80" s="1" t="s">
        <v>4</v>
      </c>
      <c r="E80" s="1" t="s">
        <v>5</v>
      </c>
      <c r="F80" s="1" t="s">
        <v>6</v>
      </c>
      <c r="G80" s="1" t="s">
        <v>7</v>
      </c>
    </row>
    <row r="81" spans="2:7" ht="15.6" thickTop="1" thickBot="1" x14ac:dyDescent="0.35">
      <c r="B81" s="3" t="s">
        <v>86</v>
      </c>
      <c r="C81" s="4"/>
      <c r="D81" s="5"/>
      <c r="E81" s="8">
        <v>8</v>
      </c>
      <c r="F81" s="7">
        <v>4</v>
      </c>
      <c r="G81" s="7"/>
    </row>
    <row r="82" spans="2:7" ht="15.6" thickTop="1" thickBot="1" x14ac:dyDescent="0.35">
      <c r="B82" s="9"/>
      <c r="C82" s="4" t="s">
        <v>99</v>
      </c>
      <c r="D82" s="14">
        <v>200</v>
      </c>
      <c r="E82" s="24">
        <f t="shared" ref="E82:E90" si="23">D82/BaseJapanCheeseCake</f>
        <v>25</v>
      </c>
      <c r="F82" s="25">
        <f t="shared" ref="F82:F92" si="24">E82*JapanCheeseCakeTBM</f>
        <v>100</v>
      </c>
      <c r="G82" s="13" t="s">
        <v>11</v>
      </c>
    </row>
    <row r="83" spans="2:7" ht="15.6" thickTop="1" thickBot="1" x14ac:dyDescent="0.35">
      <c r="B83" s="9"/>
      <c r="C83" s="4" t="s">
        <v>100</v>
      </c>
      <c r="D83" s="14">
        <v>100</v>
      </c>
      <c r="E83" s="24">
        <f t="shared" si="23"/>
        <v>12.5</v>
      </c>
      <c r="F83" s="25">
        <f t="shared" si="24"/>
        <v>50</v>
      </c>
      <c r="G83" s="13" t="str">
        <f t="shared" ref="G83:G96" si="25">Munit</f>
        <v>gms</v>
      </c>
    </row>
    <row r="84" spans="2:7" ht="15.6" thickTop="1" thickBot="1" x14ac:dyDescent="0.35">
      <c r="B84" s="9"/>
      <c r="C84" s="4" t="s">
        <v>101</v>
      </c>
      <c r="D84" s="14">
        <v>100</v>
      </c>
      <c r="E84" s="24">
        <f t="shared" si="23"/>
        <v>12.5</v>
      </c>
      <c r="F84" s="25">
        <f t="shared" si="24"/>
        <v>50</v>
      </c>
      <c r="G84" s="13" t="str">
        <f t="shared" si="25"/>
        <v>gms</v>
      </c>
    </row>
    <row r="85" spans="2:7" ht="15.6" thickTop="1" thickBot="1" x14ac:dyDescent="0.35">
      <c r="B85" s="9"/>
      <c r="C85" s="4" t="s">
        <v>102</v>
      </c>
      <c r="D85" s="14">
        <v>300</v>
      </c>
      <c r="E85" s="24">
        <f t="shared" si="23"/>
        <v>37.5</v>
      </c>
      <c r="F85" s="25">
        <f t="shared" si="24"/>
        <v>150</v>
      </c>
      <c r="G85" s="13" t="s">
        <v>11</v>
      </c>
    </row>
    <row r="86" spans="2:7" ht="15.6" thickTop="1" thickBot="1" x14ac:dyDescent="0.35">
      <c r="B86" s="9"/>
      <c r="C86" s="4" t="s">
        <v>103</v>
      </c>
      <c r="D86" s="14">
        <v>130</v>
      </c>
      <c r="E86" s="24">
        <f t="shared" si="23"/>
        <v>16.25</v>
      </c>
      <c r="F86" s="25">
        <f t="shared" si="24"/>
        <v>65</v>
      </c>
      <c r="G86" s="13" t="s">
        <v>11</v>
      </c>
    </row>
    <row r="87" spans="2:7" ht="15.6" thickTop="1" thickBot="1" x14ac:dyDescent="0.35">
      <c r="B87" s="9"/>
      <c r="C87" s="4" t="s">
        <v>104</v>
      </c>
      <c r="D87" s="14">
        <v>60</v>
      </c>
      <c r="E87" s="24">
        <f t="shared" si="23"/>
        <v>7.5</v>
      </c>
      <c r="F87" s="25">
        <f t="shared" si="24"/>
        <v>30</v>
      </c>
      <c r="G87" s="13" t="str">
        <f t="shared" si="25"/>
        <v>gms</v>
      </c>
    </row>
    <row r="88" spans="2:7" ht="15.6" thickTop="1" thickBot="1" x14ac:dyDescent="0.35">
      <c r="B88" s="9"/>
      <c r="C88" s="4" t="s">
        <v>105</v>
      </c>
      <c r="D88" s="14">
        <v>60</v>
      </c>
      <c r="E88" s="24">
        <f t="shared" si="23"/>
        <v>7.5</v>
      </c>
      <c r="F88" s="25">
        <f t="shared" si="24"/>
        <v>30</v>
      </c>
      <c r="G88" s="13"/>
    </row>
    <row r="89" spans="2:7" ht="15.6" thickTop="1" thickBot="1" x14ac:dyDescent="0.35">
      <c r="B89" s="9"/>
      <c r="C89" s="4" t="s">
        <v>106</v>
      </c>
      <c r="D89" s="14">
        <v>2</v>
      </c>
      <c r="E89" s="24">
        <f t="shared" si="23"/>
        <v>0.25</v>
      </c>
      <c r="F89" s="25">
        <f t="shared" si="24"/>
        <v>1</v>
      </c>
      <c r="G89" s="13"/>
    </row>
    <row r="90" spans="2:7" ht="15.6" thickTop="1" thickBot="1" x14ac:dyDescent="0.35">
      <c r="B90" s="9"/>
      <c r="C90" s="4" t="s">
        <v>107</v>
      </c>
      <c r="D90" s="14">
        <v>15</v>
      </c>
      <c r="E90" s="24">
        <f t="shared" si="23"/>
        <v>1.875</v>
      </c>
      <c r="F90" s="25">
        <f t="shared" si="24"/>
        <v>7.5</v>
      </c>
      <c r="G90" s="13" t="str">
        <f t="shared" si="25"/>
        <v>gms</v>
      </c>
    </row>
    <row r="91" spans="2:7" ht="15.6" thickTop="1" thickBot="1" x14ac:dyDescent="0.35">
      <c r="B91" s="9"/>
      <c r="C91" s="4" t="s">
        <v>24</v>
      </c>
      <c r="D91" s="10" t="s">
        <v>36</v>
      </c>
      <c r="E91" s="24"/>
      <c r="F91" s="25">
        <f t="shared" si="24"/>
        <v>0</v>
      </c>
      <c r="G91" s="13" t="str">
        <f t="shared" si="25"/>
        <v>gms</v>
      </c>
    </row>
    <row r="92" spans="2:7" ht="15.6" thickTop="1" thickBot="1" x14ac:dyDescent="0.35">
      <c r="B92" s="9" t="s">
        <v>108</v>
      </c>
      <c r="C92" s="4" t="s">
        <v>109</v>
      </c>
      <c r="D92" s="10">
        <v>10</v>
      </c>
      <c r="E92" s="24">
        <f>D92/BaseJapanCheeseCake</f>
        <v>1.25</v>
      </c>
      <c r="F92" s="25">
        <f t="shared" si="24"/>
        <v>5</v>
      </c>
      <c r="G92" s="13" t="str">
        <f t="shared" si="25"/>
        <v>gms</v>
      </c>
    </row>
    <row r="93" spans="2:7" ht="15.6" thickTop="1" thickBot="1" x14ac:dyDescent="0.35">
      <c r="B93" s="9"/>
      <c r="C93" s="4"/>
      <c r="D93" s="10"/>
      <c r="E93" s="24"/>
      <c r="F93" s="25"/>
      <c r="G93" s="13"/>
    </row>
    <row r="94" spans="2:7" ht="15.6" thickTop="1" thickBot="1" x14ac:dyDescent="0.35">
      <c r="B94" s="9"/>
      <c r="C94" s="4"/>
      <c r="D94" s="10"/>
      <c r="E94" s="24"/>
      <c r="F94" s="25"/>
      <c r="G94" s="13"/>
    </row>
    <row r="95" spans="2:7" ht="15.6" thickTop="1" thickBot="1" x14ac:dyDescent="0.35">
      <c r="B95" s="9"/>
      <c r="C95" s="4"/>
      <c r="D95" s="10"/>
      <c r="E95" s="24"/>
      <c r="F95" s="25"/>
      <c r="G95" s="13"/>
    </row>
    <row r="96" spans="2:7" ht="15.6" thickTop="1" thickBot="1" x14ac:dyDescent="0.35">
      <c r="C96" s="15" t="s">
        <v>39</v>
      </c>
      <c r="D96" s="16">
        <f>SUM(D82:D92)</f>
        <v>977</v>
      </c>
      <c r="E96" s="17"/>
      <c r="F96" s="18">
        <f>SUM(F82:F92)</f>
        <v>488.5</v>
      </c>
      <c r="G96" s="19" t="str">
        <f t="shared" si="25"/>
        <v>gms</v>
      </c>
    </row>
    <row r="97" spans="2:7" ht="15" thickTop="1" x14ac:dyDescent="0.3"/>
    <row r="99" spans="2:7" x14ac:dyDescent="0.3">
      <c r="B99" t="s">
        <v>110</v>
      </c>
    </row>
    <row r="100" spans="2:7" ht="29.4" thickBot="1" x14ac:dyDescent="0.35">
      <c r="B100" s="1" t="s">
        <v>2</v>
      </c>
      <c r="C100" s="1" t="s">
        <v>3</v>
      </c>
      <c r="D100" s="1" t="s">
        <v>4</v>
      </c>
      <c r="E100" s="1" t="s">
        <v>5</v>
      </c>
      <c r="F100" s="1" t="s">
        <v>6</v>
      </c>
      <c r="G100" s="1" t="s">
        <v>7</v>
      </c>
    </row>
    <row r="101" spans="2:7" ht="15.6" thickTop="1" thickBot="1" x14ac:dyDescent="0.35">
      <c r="B101" s="3" t="s">
        <v>111</v>
      </c>
      <c r="C101" s="4"/>
      <c r="D101" s="5"/>
      <c r="E101" s="8">
        <v>8</v>
      </c>
      <c r="F101" s="7">
        <v>4</v>
      </c>
      <c r="G101" s="7"/>
    </row>
    <row r="102" spans="2:7" ht="15.6" thickTop="1" thickBot="1" x14ac:dyDescent="0.35">
      <c r="B102" s="9"/>
      <c r="C102" s="4" t="s">
        <v>9</v>
      </c>
      <c r="D102" s="14">
        <v>350</v>
      </c>
      <c r="E102" s="24">
        <f t="shared" ref="E102:E107" si="26">D102/BaseEnglishMuffins</f>
        <v>43.75</v>
      </c>
      <c r="F102" s="25">
        <f t="shared" ref="F102:F107" si="27">E102*EnglishMuffinsTBM</f>
        <v>175</v>
      </c>
      <c r="G102" s="13" t="s">
        <v>11</v>
      </c>
    </row>
    <row r="103" spans="2:7" ht="15.6" thickTop="1" thickBot="1" x14ac:dyDescent="0.35">
      <c r="B103" s="9"/>
      <c r="C103" s="4" t="s">
        <v>13</v>
      </c>
      <c r="D103" s="14">
        <v>7</v>
      </c>
      <c r="E103" s="24">
        <f t="shared" si="26"/>
        <v>0.875</v>
      </c>
      <c r="F103" s="25">
        <f t="shared" si="27"/>
        <v>3.5</v>
      </c>
      <c r="G103" s="13" t="str">
        <f t="shared" ref="G103:G109" si="28">Munit</f>
        <v>gms</v>
      </c>
    </row>
    <row r="104" spans="2:7" ht="15.6" thickTop="1" thickBot="1" x14ac:dyDescent="0.35">
      <c r="B104" s="9"/>
      <c r="C104" s="4" t="s">
        <v>24</v>
      </c>
      <c r="D104" s="14">
        <v>6</v>
      </c>
      <c r="E104" s="24">
        <f t="shared" si="26"/>
        <v>0.75</v>
      </c>
      <c r="F104" s="25">
        <f t="shared" si="27"/>
        <v>3</v>
      </c>
      <c r="G104" s="13" t="str">
        <f t="shared" si="28"/>
        <v>gms</v>
      </c>
    </row>
    <row r="105" spans="2:7" ht="15.6" thickTop="1" thickBot="1" x14ac:dyDescent="0.35">
      <c r="B105" s="9"/>
      <c r="C105" s="4" t="s">
        <v>27</v>
      </c>
      <c r="D105" s="14">
        <v>4.2</v>
      </c>
      <c r="E105" s="24">
        <f t="shared" si="26"/>
        <v>0.52500000000000002</v>
      </c>
      <c r="F105" s="25">
        <f t="shared" si="27"/>
        <v>2.1</v>
      </c>
      <c r="G105" s="13" t="s">
        <v>11</v>
      </c>
    </row>
    <row r="106" spans="2:7" ht="15.6" thickTop="1" thickBot="1" x14ac:dyDescent="0.35">
      <c r="B106" s="9"/>
      <c r="C106" s="4" t="s">
        <v>50</v>
      </c>
      <c r="D106" s="14">
        <v>180</v>
      </c>
      <c r="E106" s="24">
        <f t="shared" si="26"/>
        <v>22.5</v>
      </c>
      <c r="F106" s="25">
        <f t="shared" si="27"/>
        <v>90</v>
      </c>
      <c r="G106" s="13" t="s">
        <v>64</v>
      </c>
    </row>
    <row r="107" spans="2:7" ht="15.6" thickTop="1" thickBot="1" x14ac:dyDescent="0.35">
      <c r="B107" s="9"/>
      <c r="C107" s="4" t="s">
        <v>112</v>
      </c>
      <c r="D107" s="14">
        <v>4.7</v>
      </c>
      <c r="E107" s="24">
        <f t="shared" si="26"/>
        <v>0.58750000000000002</v>
      </c>
      <c r="F107" s="25">
        <f t="shared" si="27"/>
        <v>2.35</v>
      </c>
      <c r="G107" s="13" t="str">
        <f t="shared" si="28"/>
        <v>gms</v>
      </c>
    </row>
    <row r="108" spans="2:7" ht="15.6" thickTop="1" thickBot="1" x14ac:dyDescent="0.35">
      <c r="B108" s="9"/>
      <c r="C108" s="4" t="s">
        <v>113</v>
      </c>
      <c r="D108" s="14" t="s">
        <v>114</v>
      </c>
      <c r="E108" s="24"/>
      <c r="F108" s="25"/>
      <c r="G108" s="13"/>
    </row>
    <row r="109" spans="2:7" ht="15.6" thickTop="1" thickBot="1" x14ac:dyDescent="0.35">
      <c r="C109" s="15" t="s">
        <v>39</v>
      </c>
      <c r="D109" s="16">
        <f>SUM(D102:D108)</f>
        <v>551.90000000000009</v>
      </c>
      <c r="E109" s="17"/>
      <c r="F109" s="18">
        <f>SUM(F102:F108)</f>
        <v>275.95000000000005</v>
      </c>
      <c r="G109" s="19" t="str">
        <f t="shared" si="28"/>
        <v>gms</v>
      </c>
    </row>
    <row r="110" spans="2:7" ht="15" thickTop="1" x14ac:dyDescent="0.3"/>
    <row r="112" spans="2:7" x14ac:dyDescent="0.3">
      <c r="B112" t="s">
        <v>115</v>
      </c>
    </row>
    <row r="113" spans="2:9" ht="29.4" thickBot="1" x14ac:dyDescent="0.35">
      <c r="B113" s="1" t="s">
        <v>2</v>
      </c>
      <c r="C113" s="1" t="s">
        <v>3</v>
      </c>
      <c r="D113" s="1" t="s">
        <v>4</v>
      </c>
      <c r="E113" s="1" t="s">
        <v>5</v>
      </c>
      <c r="F113" s="1" t="s">
        <v>6</v>
      </c>
      <c r="G113" s="1" t="s">
        <v>7</v>
      </c>
    </row>
    <row r="114" spans="2:9" ht="15.6" thickTop="1" thickBot="1" x14ac:dyDescent="0.35">
      <c r="B114" s="3" t="s">
        <v>111</v>
      </c>
      <c r="C114" s="4"/>
      <c r="D114" s="5"/>
      <c r="E114" s="8">
        <v>4</v>
      </c>
      <c r="F114" s="7">
        <v>2</v>
      </c>
      <c r="G114" s="7"/>
    </row>
    <row r="115" spans="2:9" ht="15.6" thickTop="1" thickBot="1" x14ac:dyDescent="0.35">
      <c r="B115" s="9"/>
      <c r="C115" s="4" t="s">
        <v>116</v>
      </c>
      <c r="D115" s="14">
        <v>57</v>
      </c>
      <c r="E115" s="24">
        <f>D115/BaseHolSauce</f>
        <v>14.25</v>
      </c>
      <c r="F115" s="25">
        <f>E115*HolSauceTBM</f>
        <v>28.5</v>
      </c>
      <c r="G115" s="13" t="s">
        <v>11</v>
      </c>
    </row>
    <row r="116" spans="2:9" ht="15.6" thickTop="1" thickBot="1" x14ac:dyDescent="0.35">
      <c r="B116" s="9"/>
      <c r="C116" s="4" t="s">
        <v>107</v>
      </c>
      <c r="D116" s="14">
        <v>5</v>
      </c>
      <c r="E116" s="24">
        <f>D116/BaseHolSauce</f>
        <v>1.25</v>
      </c>
      <c r="F116" s="25">
        <f>E116*HolSauceTBM</f>
        <v>2.5</v>
      </c>
      <c r="G116" s="13" t="str">
        <f t="shared" ref="G116:G122" si="29">Munit</f>
        <v>gms</v>
      </c>
    </row>
    <row r="117" spans="2:9" ht="15.6" thickTop="1" thickBot="1" x14ac:dyDescent="0.35">
      <c r="B117" s="9" t="s">
        <v>108</v>
      </c>
      <c r="C117" s="4" t="s">
        <v>117</v>
      </c>
      <c r="D117" s="14">
        <v>2.7</v>
      </c>
      <c r="E117" s="24">
        <f>D117/BaseHolSauce</f>
        <v>0.67500000000000004</v>
      </c>
      <c r="F117" s="25">
        <f>E117*HolSauceTBM</f>
        <v>1.35</v>
      </c>
      <c r="G117" s="13" t="str">
        <f t="shared" si="29"/>
        <v>gms</v>
      </c>
    </row>
    <row r="118" spans="2:9" ht="15.6" thickTop="1" thickBot="1" x14ac:dyDescent="0.35">
      <c r="B118" s="9"/>
      <c r="C118" s="4" t="s">
        <v>118</v>
      </c>
      <c r="D118" s="14">
        <v>120</v>
      </c>
      <c r="E118" s="24">
        <f>D118/BaseHolSauce</f>
        <v>30</v>
      </c>
      <c r="F118" s="25">
        <f>E118*HolSauceTBM</f>
        <v>60</v>
      </c>
      <c r="G118" s="13" t="s">
        <v>11</v>
      </c>
    </row>
    <row r="119" spans="2:9" ht="15.6" thickTop="1" thickBot="1" x14ac:dyDescent="0.35">
      <c r="B119" s="9" t="s">
        <v>119</v>
      </c>
      <c r="C119" s="4" t="s">
        <v>120</v>
      </c>
      <c r="D119" s="14">
        <v>1</v>
      </c>
      <c r="E119" s="24">
        <f>D119/BaseHolSauce</f>
        <v>0.25</v>
      </c>
      <c r="F119" s="25">
        <f>E119*HolSauceTBM</f>
        <v>0.5</v>
      </c>
      <c r="G119" s="13" t="s">
        <v>119</v>
      </c>
    </row>
    <row r="120" spans="2:9" ht="15.6" thickTop="1" thickBot="1" x14ac:dyDescent="0.35">
      <c r="B120" s="9"/>
      <c r="C120" s="4"/>
      <c r="D120" s="14"/>
      <c r="E120" s="24"/>
      <c r="F120" s="25"/>
      <c r="G120" s="13"/>
    </row>
    <row r="121" spans="2:9" ht="15.6" thickTop="1" thickBot="1" x14ac:dyDescent="0.35">
      <c r="B121" s="9"/>
      <c r="C121" s="4"/>
      <c r="D121" s="14"/>
      <c r="E121" s="24"/>
      <c r="F121" s="25"/>
      <c r="G121" s="13"/>
    </row>
    <row r="122" spans="2:9" ht="15.6" thickTop="1" thickBot="1" x14ac:dyDescent="0.35">
      <c r="C122" s="15" t="s">
        <v>39</v>
      </c>
      <c r="D122" s="16">
        <f>SUM(D115:D121)</f>
        <v>185.7</v>
      </c>
      <c r="E122" s="17"/>
      <c r="F122" s="18">
        <f>SUM(F115:F121)</f>
        <v>92.85</v>
      </c>
      <c r="G122" s="19" t="str">
        <f t="shared" si="29"/>
        <v>gms</v>
      </c>
    </row>
    <row r="123" spans="2:9" ht="15" thickTop="1" x14ac:dyDescent="0.3"/>
    <row r="125" spans="2:9" x14ac:dyDescent="0.3">
      <c r="B125" t="s">
        <v>121</v>
      </c>
    </row>
    <row r="126" spans="2:9" ht="29.4" thickBot="1" x14ac:dyDescent="0.35">
      <c r="B126" s="1" t="s">
        <v>2</v>
      </c>
      <c r="C126" s="1" t="s">
        <v>3</v>
      </c>
      <c r="D126" s="1" t="s">
        <v>4</v>
      </c>
      <c r="E126" s="1" t="s">
        <v>5</v>
      </c>
      <c r="F126" s="1" t="s">
        <v>6</v>
      </c>
      <c r="G126" s="1" t="s">
        <v>7</v>
      </c>
      <c r="I126" t="s">
        <v>122</v>
      </c>
    </row>
    <row r="127" spans="2:9" ht="15.6" thickTop="1" thickBot="1" x14ac:dyDescent="0.35">
      <c r="B127" s="3" t="s">
        <v>111</v>
      </c>
      <c r="C127" s="4"/>
      <c r="D127" s="5"/>
      <c r="E127" s="8">
        <v>10</v>
      </c>
      <c r="F127" s="7">
        <v>5</v>
      </c>
      <c r="G127" s="7"/>
      <c r="I127" t="s">
        <v>123</v>
      </c>
    </row>
    <row r="128" spans="2:9" ht="15.6" thickTop="1" thickBot="1" x14ac:dyDescent="0.35">
      <c r="B128" s="9"/>
      <c r="C128" s="4" t="s">
        <v>9</v>
      </c>
      <c r="D128" s="14">
        <v>100</v>
      </c>
      <c r="E128" s="24">
        <f t="shared" ref="E128:E137" si="30">D128/BaseChocoBrownie</f>
        <v>10</v>
      </c>
      <c r="F128" s="25">
        <f t="shared" ref="F128:F137" si="31">E128*ChocoBrownieTBM</f>
        <v>50</v>
      </c>
      <c r="G128" s="13" t="s">
        <v>11</v>
      </c>
      <c r="I128" t="s">
        <v>124</v>
      </c>
    </row>
    <row r="129" spans="2:9" ht="15.6" thickTop="1" thickBot="1" x14ac:dyDescent="0.35">
      <c r="B129" s="9"/>
      <c r="C129" s="4" t="s">
        <v>125</v>
      </c>
      <c r="D129" s="14">
        <v>200</v>
      </c>
      <c r="E129" s="24">
        <f t="shared" si="30"/>
        <v>20</v>
      </c>
      <c r="F129" s="25">
        <f t="shared" si="31"/>
        <v>100</v>
      </c>
      <c r="G129" s="13" t="s">
        <v>11</v>
      </c>
      <c r="I129" t="s">
        <v>126</v>
      </c>
    </row>
    <row r="130" spans="2:9" ht="15.6" thickTop="1" thickBot="1" x14ac:dyDescent="0.35">
      <c r="B130" s="9"/>
      <c r="C130" s="4" t="s">
        <v>118</v>
      </c>
      <c r="D130" s="14">
        <v>150</v>
      </c>
      <c r="E130" s="24">
        <f t="shared" si="30"/>
        <v>15</v>
      </c>
      <c r="F130" s="25">
        <f t="shared" si="31"/>
        <v>75</v>
      </c>
      <c r="G130" s="13" t="s">
        <v>11</v>
      </c>
      <c r="I130" t="s">
        <v>127</v>
      </c>
    </row>
    <row r="131" spans="2:9" ht="15.6" thickTop="1" thickBot="1" x14ac:dyDescent="0.35">
      <c r="B131" s="9"/>
      <c r="C131" s="4" t="s">
        <v>103</v>
      </c>
      <c r="D131" s="14">
        <v>150</v>
      </c>
      <c r="E131" s="24">
        <f t="shared" si="30"/>
        <v>15</v>
      </c>
      <c r="F131" s="25">
        <f t="shared" si="31"/>
        <v>75</v>
      </c>
      <c r="G131" s="13" t="s">
        <v>11</v>
      </c>
      <c r="I131" t="s">
        <v>128</v>
      </c>
    </row>
    <row r="132" spans="2:9" ht="15.6" thickTop="1" thickBot="1" x14ac:dyDescent="0.35">
      <c r="B132" s="9"/>
      <c r="C132" s="4" t="s">
        <v>129</v>
      </c>
      <c r="D132" s="14">
        <v>100</v>
      </c>
      <c r="E132" s="24">
        <f t="shared" si="30"/>
        <v>10</v>
      </c>
      <c r="F132" s="25">
        <f t="shared" si="31"/>
        <v>50</v>
      </c>
      <c r="G132" s="13" t="s">
        <v>11</v>
      </c>
      <c r="I132" t="s">
        <v>130</v>
      </c>
    </row>
    <row r="133" spans="2:9" ht="15.6" thickTop="1" thickBot="1" x14ac:dyDescent="0.35">
      <c r="B133" s="9" t="s">
        <v>131</v>
      </c>
      <c r="C133" s="4" t="s">
        <v>132</v>
      </c>
      <c r="D133" s="14">
        <f>3*56</f>
        <v>168</v>
      </c>
      <c r="E133" s="24">
        <f t="shared" si="30"/>
        <v>16.8</v>
      </c>
      <c r="F133" s="25">
        <f t="shared" si="31"/>
        <v>84</v>
      </c>
      <c r="G133" s="13" t="s">
        <v>11</v>
      </c>
      <c r="I133" t="s">
        <v>133</v>
      </c>
    </row>
    <row r="134" spans="2:9" ht="15.6" thickTop="1" thickBot="1" x14ac:dyDescent="0.35">
      <c r="B134" s="9" t="s">
        <v>134</v>
      </c>
      <c r="C134" s="4" t="s">
        <v>135</v>
      </c>
      <c r="D134" s="14">
        <v>4.2</v>
      </c>
      <c r="E134" s="24">
        <f t="shared" si="30"/>
        <v>0.42000000000000004</v>
      </c>
      <c r="F134" s="25">
        <f t="shared" si="31"/>
        <v>2.1</v>
      </c>
      <c r="G134" s="13" t="s">
        <v>11</v>
      </c>
    </row>
    <row r="135" spans="2:9" ht="15.6" thickTop="1" thickBot="1" x14ac:dyDescent="0.35">
      <c r="B135" s="9"/>
      <c r="C135" s="4" t="s">
        <v>136</v>
      </c>
      <c r="D135" s="14">
        <v>30</v>
      </c>
      <c r="E135" s="24">
        <f t="shared" si="30"/>
        <v>3</v>
      </c>
      <c r="F135" s="25">
        <f t="shared" si="31"/>
        <v>15</v>
      </c>
      <c r="G135" s="13" t="s">
        <v>11</v>
      </c>
    </row>
    <row r="136" spans="2:9" ht="15.6" thickTop="1" thickBot="1" x14ac:dyDescent="0.35">
      <c r="B136" s="9" t="s">
        <v>137</v>
      </c>
      <c r="C136" s="4" t="s">
        <v>24</v>
      </c>
      <c r="D136" s="14">
        <v>2.5</v>
      </c>
      <c r="E136" s="24">
        <f t="shared" si="30"/>
        <v>0.25</v>
      </c>
      <c r="F136" s="25">
        <f t="shared" si="31"/>
        <v>1.25</v>
      </c>
      <c r="G136" s="13" t="s">
        <v>11</v>
      </c>
    </row>
    <row r="137" spans="2:9" ht="15.6" thickTop="1" thickBot="1" x14ac:dyDescent="0.35">
      <c r="B137" s="9"/>
      <c r="C137" s="4" t="s">
        <v>138</v>
      </c>
      <c r="D137" s="14">
        <v>100</v>
      </c>
      <c r="E137" s="24">
        <f t="shared" si="30"/>
        <v>10</v>
      </c>
      <c r="F137" s="25">
        <f t="shared" si="31"/>
        <v>50</v>
      </c>
      <c r="G137" s="13" t="s">
        <v>11</v>
      </c>
    </row>
    <row r="138" spans="2:9" ht="15.6" thickTop="1" thickBot="1" x14ac:dyDescent="0.35">
      <c r="B138" s="9"/>
      <c r="C138" s="4"/>
      <c r="D138" s="14"/>
      <c r="E138" s="24"/>
      <c r="F138" s="25"/>
      <c r="G138" s="13"/>
    </row>
    <row r="139" spans="2:9" ht="15.6" thickTop="1" thickBot="1" x14ac:dyDescent="0.35">
      <c r="B139" s="9"/>
      <c r="C139" s="4"/>
      <c r="D139" s="14" t="s">
        <v>114</v>
      </c>
      <c r="E139" s="24"/>
      <c r="F139" s="25"/>
      <c r="G139" s="13"/>
      <c r="I139" t="s">
        <v>139</v>
      </c>
    </row>
    <row r="140" spans="2:9" ht="15.6" thickTop="1" thickBot="1" x14ac:dyDescent="0.35">
      <c r="C140" s="15" t="s">
        <v>39</v>
      </c>
      <c r="D140" s="16">
        <f>SUM(D128:D139)</f>
        <v>1004.7</v>
      </c>
      <c r="E140" s="17"/>
      <c r="F140" s="18">
        <f>SUM(F128:F139)</f>
        <v>502.35</v>
      </c>
      <c r="G140" s="19" t="str">
        <f t="shared" ref="G140" si="32">Munit</f>
        <v>gms</v>
      </c>
      <c r="I140" t="s">
        <v>140</v>
      </c>
    </row>
    <row r="141" spans="2:9" ht="15" thickTop="1" x14ac:dyDescent="0.3"/>
    <row r="143" spans="2:9" x14ac:dyDescent="0.3">
      <c r="B143" t="s">
        <v>141</v>
      </c>
      <c r="C143" t="s">
        <v>142</v>
      </c>
    </row>
    <row r="145" spans="2:7" x14ac:dyDescent="0.3">
      <c r="B145" s="26" t="s">
        <v>143</v>
      </c>
      <c r="C145" t="s">
        <v>144</v>
      </c>
      <c r="D145">
        <v>200</v>
      </c>
      <c r="F145" s="25">
        <f>D145*ChocolateTBM/BaseChocolate</f>
        <v>60</v>
      </c>
    </row>
    <row r="146" spans="2:7" ht="15" thickBot="1" x14ac:dyDescent="0.35">
      <c r="B146" s="26" t="s">
        <v>145</v>
      </c>
      <c r="C146" t="s">
        <v>146</v>
      </c>
      <c r="D146">
        <v>100</v>
      </c>
      <c r="F146" s="25">
        <f>D146*ChocolateTBM/BaseChocolate</f>
        <v>30</v>
      </c>
    </row>
    <row r="147" spans="2:7" ht="15.6" thickTop="1" thickBot="1" x14ac:dyDescent="0.35">
      <c r="D147" s="8">
        <f>SUM(D145:D146)</f>
        <v>300</v>
      </c>
      <c r="F147" s="7">
        <v>90</v>
      </c>
    </row>
    <row r="148" spans="2:7" ht="15" thickTop="1" x14ac:dyDescent="0.3"/>
    <row r="151" spans="2:7" x14ac:dyDescent="0.3">
      <c r="B151" t="s">
        <v>147</v>
      </c>
    </row>
    <row r="152" spans="2:7" ht="29.4" thickBot="1" x14ac:dyDescent="0.35"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</row>
    <row r="153" spans="2:7" ht="15.6" thickTop="1" thickBot="1" x14ac:dyDescent="0.35">
      <c r="B153" s="3" t="s">
        <v>111</v>
      </c>
      <c r="C153" s="4"/>
      <c r="D153" s="5"/>
      <c r="E153" s="8">
        <v>24</v>
      </c>
      <c r="F153" s="7">
        <v>5</v>
      </c>
      <c r="G153" s="7"/>
    </row>
    <row r="154" spans="2:7" ht="15.6" thickTop="1" thickBot="1" x14ac:dyDescent="0.35">
      <c r="B154" s="9"/>
      <c r="C154" s="4" t="s">
        <v>9</v>
      </c>
      <c r="D154" s="14">
        <v>150</v>
      </c>
      <c r="E154" s="24">
        <f t="shared" ref="E154:E163" si="33">D154/ChurrosBase</f>
        <v>6.25</v>
      </c>
      <c r="F154" s="25">
        <f t="shared" ref="F154:F163" si="34">E154*ChurrosTBM</f>
        <v>31.25</v>
      </c>
      <c r="G154" s="13" t="s">
        <v>11</v>
      </c>
    </row>
    <row r="155" spans="2:7" ht="15.6" thickTop="1" thickBot="1" x14ac:dyDescent="0.35">
      <c r="B155" s="9"/>
      <c r="C155" s="4" t="s">
        <v>52</v>
      </c>
      <c r="D155" s="14">
        <v>250</v>
      </c>
      <c r="E155" s="24">
        <f t="shared" si="33"/>
        <v>10.416666666666666</v>
      </c>
      <c r="F155" s="25">
        <f t="shared" si="34"/>
        <v>52.083333333333329</v>
      </c>
      <c r="G155" s="13" t="s">
        <v>11</v>
      </c>
    </row>
    <row r="156" spans="2:7" ht="15.6" thickTop="1" thickBot="1" x14ac:dyDescent="0.35">
      <c r="B156" s="9"/>
      <c r="C156" s="4" t="s">
        <v>118</v>
      </c>
      <c r="D156" s="14">
        <v>60</v>
      </c>
      <c r="E156" s="24">
        <f t="shared" si="33"/>
        <v>2.5</v>
      </c>
      <c r="F156" s="25">
        <f t="shared" si="34"/>
        <v>12.5</v>
      </c>
      <c r="G156" s="13" t="s">
        <v>11</v>
      </c>
    </row>
    <row r="157" spans="2:7" ht="15.6" thickTop="1" thickBot="1" x14ac:dyDescent="0.35">
      <c r="B157" s="9"/>
      <c r="C157" s="4" t="s">
        <v>148</v>
      </c>
      <c r="D157" s="14">
        <v>100</v>
      </c>
      <c r="E157" s="24">
        <f t="shared" si="33"/>
        <v>4.166666666666667</v>
      </c>
      <c r="F157" s="25">
        <f t="shared" si="34"/>
        <v>20.833333333333336</v>
      </c>
      <c r="G157" s="13" t="s">
        <v>11</v>
      </c>
    </row>
    <row r="158" spans="2:7" ht="15.6" thickTop="1" thickBot="1" x14ac:dyDescent="0.35">
      <c r="B158" s="9"/>
      <c r="C158" s="4"/>
      <c r="D158" s="14"/>
      <c r="E158" s="24">
        <f t="shared" si="33"/>
        <v>0</v>
      </c>
      <c r="F158" s="25">
        <f t="shared" si="34"/>
        <v>0</v>
      </c>
      <c r="G158" s="13" t="s">
        <v>11</v>
      </c>
    </row>
    <row r="159" spans="2:7" ht="15.6" thickTop="1" thickBot="1" x14ac:dyDescent="0.35">
      <c r="B159" s="9" t="s">
        <v>131</v>
      </c>
      <c r="C159" s="4" t="s">
        <v>132</v>
      </c>
      <c r="D159" s="14">
        <f>3*56</f>
        <v>168</v>
      </c>
      <c r="E159" s="24">
        <f t="shared" si="33"/>
        <v>7</v>
      </c>
      <c r="F159" s="25">
        <f t="shared" si="34"/>
        <v>35</v>
      </c>
      <c r="G159" s="13" t="s">
        <v>11</v>
      </c>
    </row>
    <row r="160" spans="2:7" ht="15.6" thickTop="1" thickBot="1" x14ac:dyDescent="0.35">
      <c r="B160" s="9" t="s">
        <v>134</v>
      </c>
      <c r="C160" s="4" t="s">
        <v>135</v>
      </c>
      <c r="D160" s="14">
        <v>4.2</v>
      </c>
      <c r="E160" s="24">
        <f t="shared" si="33"/>
        <v>0.17500000000000002</v>
      </c>
      <c r="F160" s="25">
        <f t="shared" si="34"/>
        <v>0.87500000000000011</v>
      </c>
      <c r="G160" s="13" t="s">
        <v>11</v>
      </c>
    </row>
    <row r="161" spans="2:7" ht="15.6" thickTop="1" thickBot="1" x14ac:dyDescent="0.35">
      <c r="B161" s="9"/>
      <c r="C161" s="4" t="s">
        <v>149</v>
      </c>
      <c r="D161" s="14">
        <v>120</v>
      </c>
      <c r="E161" s="24">
        <f t="shared" si="33"/>
        <v>5</v>
      </c>
      <c r="F161" s="25">
        <f t="shared" si="34"/>
        <v>25</v>
      </c>
      <c r="G161" s="13" t="s">
        <v>11</v>
      </c>
    </row>
    <row r="162" spans="2:7" ht="15.6" thickTop="1" thickBot="1" x14ac:dyDescent="0.35">
      <c r="B162" s="9" t="s">
        <v>137</v>
      </c>
      <c r="C162" s="4" t="s">
        <v>150</v>
      </c>
      <c r="D162" s="14">
        <v>30</v>
      </c>
      <c r="E162" s="24">
        <f t="shared" si="33"/>
        <v>1.25</v>
      </c>
      <c r="F162" s="25">
        <f t="shared" si="34"/>
        <v>6.25</v>
      </c>
      <c r="G162" s="13" t="s">
        <v>11</v>
      </c>
    </row>
    <row r="163" spans="2:7" ht="15.6" thickTop="1" thickBot="1" x14ac:dyDescent="0.35">
      <c r="B163" s="9"/>
      <c r="C163" s="4" t="s">
        <v>144</v>
      </c>
      <c r="D163" s="14">
        <v>150</v>
      </c>
      <c r="E163" s="24">
        <f t="shared" si="33"/>
        <v>6.25</v>
      </c>
      <c r="F163" s="25">
        <f t="shared" si="34"/>
        <v>31.25</v>
      </c>
      <c r="G163" s="13" t="s">
        <v>11</v>
      </c>
    </row>
    <row r="164" spans="2:7" ht="15.6" thickTop="1" thickBot="1" x14ac:dyDescent="0.35">
      <c r="B164" s="9"/>
      <c r="C164" s="4"/>
      <c r="D164" s="14"/>
      <c r="E164" s="24"/>
      <c r="F164" s="25"/>
      <c r="G164" s="13"/>
    </row>
    <row r="165" spans="2:7" ht="15.6" thickTop="1" thickBot="1" x14ac:dyDescent="0.35">
      <c r="B165" s="9"/>
      <c r="C165" s="4"/>
      <c r="D165" s="14" t="s">
        <v>114</v>
      </c>
      <c r="E165" s="24"/>
      <c r="F165" s="25"/>
      <c r="G165" s="13"/>
    </row>
    <row r="166" spans="2:7" ht="15.6" thickTop="1" thickBot="1" x14ac:dyDescent="0.35">
      <c r="C166" s="15" t="s">
        <v>39</v>
      </c>
      <c r="D166" s="16">
        <f>SUM(D154:D165)</f>
        <v>1032.2</v>
      </c>
      <c r="E166" s="17"/>
      <c r="F166" s="18">
        <f>SUM(F154:F165)</f>
        <v>215.04166666666666</v>
      </c>
      <c r="G166" s="19" t="str">
        <f t="shared" ref="G166" si="35">Munit</f>
        <v>gms</v>
      </c>
    </row>
    <row r="167" spans="2:7" ht="15" thickTop="1" x14ac:dyDescent="0.3"/>
    <row r="169" spans="2:7" x14ac:dyDescent="0.3">
      <c r="B169" t="s">
        <v>151</v>
      </c>
    </row>
    <row r="170" spans="2:7" ht="29.4" thickBot="1" x14ac:dyDescent="0.35">
      <c r="B170" s="1" t="s">
        <v>2</v>
      </c>
      <c r="C170" s="1" t="s">
        <v>3</v>
      </c>
      <c r="D170" s="1" t="s">
        <v>4</v>
      </c>
      <c r="E170" s="1" t="s">
        <v>5</v>
      </c>
      <c r="F170" s="1" t="s">
        <v>6</v>
      </c>
      <c r="G170" s="1" t="s">
        <v>7</v>
      </c>
    </row>
    <row r="171" spans="2:7" ht="15.6" thickTop="1" thickBot="1" x14ac:dyDescent="0.35">
      <c r="B171" s="3" t="s">
        <v>111</v>
      </c>
      <c r="C171" s="4"/>
      <c r="D171" s="5"/>
      <c r="E171" s="8">
        <v>24</v>
      </c>
      <c r="F171" s="7">
        <v>5</v>
      </c>
      <c r="G171" s="7"/>
    </row>
    <row r="172" spans="2:7" ht="15.6" thickTop="1" thickBot="1" x14ac:dyDescent="0.35">
      <c r="B172" s="9"/>
      <c r="C172" s="4" t="s">
        <v>9</v>
      </c>
      <c r="D172" s="14">
        <v>150</v>
      </c>
      <c r="E172" s="24">
        <f t="shared" ref="E172:E182" si="36">D172/ChurrosBase</f>
        <v>6.25</v>
      </c>
      <c r="F172" s="25">
        <f t="shared" ref="F172:F182" si="37">E172*ChurrosTBM</f>
        <v>31.25</v>
      </c>
      <c r="G172" s="13" t="s">
        <v>11</v>
      </c>
    </row>
    <row r="173" spans="2:7" ht="15.6" thickTop="1" thickBot="1" x14ac:dyDescent="0.35">
      <c r="B173" s="9"/>
      <c r="C173" s="4" t="s">
        <v>52</v>
      </c>
      <c r="D173" s="14">
        <v>125</v>
      </c>
      <c r="E173" s="24">
        <f t="shared" si="36"/>
        <v>5.208333333333333</v>
      </c>
      <c r="F173" s="25">
        <f t="shared" si="37"/>
        <v>26.041666666666664</v>
      </c>
      <c r="G173" s="13" t="s">
        <v>11</v>
      </c>
    </row>
    <row r="174" spans="2:7" ht="15.6" thickTop="1" thickBot="1" x14ac:dyDescent="0.35">
      <c r="B174" s="9"/>
      <c r="C174" s="4" t="s">
        <v>50</v>
      </c>
      <c r="D174" s="14">
        <v>125</v>
      </c>
      <c r="E174" s="24">
        <f t="shared" si="36"/>
        <v>5.208333333333333</v>
      </c>
      <c r="F174" s="25">
        <f t="shared" si="37"/>
        <v>26.041666666666664</v>
      </c>
      <c r="G174" s="13"/>
    </row>
    <row r="175" spans="2:7" ht="15.6" thickTop="1" thickBot="1" x14ac:dyDescent="0.35">
      <c r="B175" s="9"/>
      <c r="C175" s="4" t="s">
        <v>118</v>
      </c>
      <c r="D175" s="14">
        <v>100</v>
      </c>
      <c r="E175" s="24">
        <f t="shared" si="36"/>
        <v>4.166666666666667</v>
      </c>
      <c r="F175" s="25">
        <f t="shared" si="37"/>
        <v>20.833333333333336</v>
      </c>
      <c r="G175" s="13" t="s">
        <v>11</v>
      </c>
    </row>
    <row r="176" spans="2:7" ht="15.6" thickTop="1" thickBot="1" x14ac:dyDescent="0.35">
      <c r="B176" s="9"/>
      <c r="C176" s="4" t="s">
        <v>152</v>
      </c>
      <c r="D176" s="14">
        <v>100</v>
      </c>
      <c r="E176" s="24">
        <f t="shared" si="36"/>
        <v>4.166666666666667</v>
      </c>
      <c r="F176" s="25">
        <f t="shared" si="37"/>
        <v>20.833333333333336</v>
      </c>
      <c r="G176" s="13" t="s">
        <v>11</v>
      </c>
    </row>
    <row r="177" spans="2:7" ht="15.6" thickTop="1" thickBot="1" x14ac:dyDescent="0.35">
      <c r="B177" s="9"/>
      <c r="C177" s="4" t="s">
        <v>153</v>
      </c>
      <c r="D177" s="14">
        <v>125</v>
      </c>
      <c r="E177" s="24">
        <f t="shared" si="36"/>
        <v>5.208333333333333</v>
      </c>
      <c r="F177" s="25">
        <f t="shared" si="37"/>
        <v>26.041666666666664</v>
      </c>
      <c r="G177" s="13" t="s">
        <v>11</v>
      </c>
    </row>
    <row r="178" spans="2:7" ht="15.6" thickTop="1" thickBot="1" x14ac:dyDescent="0.35">
      <c r="B178" s="9" t="s">
        <v>154</v>
      </c>
      <c r="C178" s="4" t="s">
        <v>132</v>
      </c>
      <c r="D178" s="14">
        <f>4*56</f>
        <v>224</v>
      </c>
      <c r="E178" s="24">
        <f t="shared" si="36"/>
        <v>9.3333333333333339</v>
      </c>
      <c r="F178" s="25">
        <f t="shared" si="37"/>
        <v>46.666666666666671</v>
      </c>
      <c r="G178" s="13" t="s">
        <v>11</v>
      </c>
    </row>
    <row r="179" spans="2:7" ht="15.6" thickTop="1" thickBot="1" x14ac:dyDescent="0.35">
      <c r="B179" s="9" t="s">
        <v>134</v>
      </c>
      <c r="C179" s="4" t="s">
        <v>135</v>
      </c>
      <c r="D179" s="14">
        <v>4.2</v>
      </c>
      <c r="E179" s="24">
        <f t="shared" si="36"/>
        <v>0.17500000000000002</v>
      </c>
      <c r="F179" s="25">
        <f t="shared" si="37"/>
        <v>0.87500000000000011</v>
      </c>
      <c r="G179" s="13" t="s">
        <v>11</v>
      </c>
    </row>
    <row r="180" spans="2:7" ht="15.6" thickTop="1" thickBot="1" x14ac:dyDescent="0.35">
      <c r="B180" s="9"/>
      <c r="C180" s="4" t="s">
        <v>155</v>
      </c>
      <c r="D180" s="14">
        <v>90</v>
      </c>
      <c r="E180" s="24">
        <f t="shared" si="36"/>
        <v>3.75</v>
      </c>
      <c r="F180" s="25">
        <f t="shared" si="37"/>
        <v>18.75</v>
      </c>
      <c r="G180" s="13" t="s">
        <v>11</v>
      </c>
    </row>
    <row r="181" spans="2:7" ht="15.6" thickTop="1" thickBot="1" x14ac:dyDescent="0.35">
      <c r="B181" s="9" t="s">
        <v>137</v>
      </c>
      <c r="C181" s="4" t="s">
        <v>156</v>
      </c>
      <c r="D181" s="14">
        <v>150</v>
      </c>
      <c r="E181" s="24">
        <f t="shared" si="36"/>
        <v>6.25</v>
      </c>
      <c r="F181" s="25">
        <f t="shared" si="37"/>
        <v>31.25</v>
      </c>
      <c r="G181" s="13" t="s">
        <v>11</v>
      </c>
    </row>
    <row r="182" spans="2:7" ht="15.6" thickTop="1" thickBot="1" x14ac:dyDescent="0.35">
      <c r="B182" s="9"/>
      <c r="C182" s="4" t="s">
        <v>157</v>
      </c>
      <c r="D182" s="14">
        <v>2</v>
      </c>
      <c r="E182" s="24">
        <f t="shared" si="36"/>
        <v>8.3333333333333329E-2</v>
      </c>
      <c r="F182" s="25">
        <f t="shared" si="37"/>
        <v>0.41666666666666663</v>
      </c>
      <c r="G182" s="13" t="s">
        <v>11</v>
      </c>
    </row>
    <row r="183" spans="2:7" ht="15.6" thickTop="1" thickBot="1" x14ac:dyDescent="0.35">
      <c r="B183" s="9"/>
      <c r="C183" s="4"/>
      <c r="D183" s="14"/>
      <c r="E183" s="24"/>
      <c r="F183" s="25"/>
      <c r="G183" s="13"/>
    </row>
    <row r="184" spans="2:7" ht="15.6" thickTop="1" thickBot="1" x14ac:dyDescent="0.35">
      <c r="B184" s="9"/>
      <c r="C184" s="4"/>
      <c r="D184" s="14" t="s">
        <v>114</v>
      </c>
      <c r="E184" s="24"/>
      <c r="F184" s="25"/>
      <c r="G184" s="13"/>
    </row>
    <row r="185" spans="2:7" ht="15.6" thickTop="1" thickBot="1" x14ac:dyDescent="0.35">
      <c r="C185" s="15" t="s">
        <v>39</v>
      </c>
      <c r="D185" s="16">
        <f>SUM(D172:D184)</f>
        <v>1195.2</v>
      </c>
      <c r="E185" s="17"/>
      <c r="F185" s="18">
        <f>SUM(F172:F184)</f>
        <v>248.99999999999997</v>
      </c>
      <c r="G185" s="19" t="str">
        <f t="shared" ref="G185" si="38">Munit</f>
        <v>gms</v>
      </c>
    </row>
    <row r="186" spans="2:7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Sheet1</vt:lpstr>
      <vt:lpstr>BaseCake</vt:lpstr>
      <vt:lpstr>BaseChocoBrownie</vt:lpstr>
      <vt:lpstr>BaseChocolate</vt:lpstr>
      <vt:lpstr>BaseEnglishMuffins</vt:lpstr>
      <vt:lpstr>BaseHolSauce</vt:lpstr>
      <vt:lpstr>BaseJapanCheeseCake</vt:lpstr>
      <vt:lpstr>BaseMinistrone</vt:lpstr>
      <vt:lpstr>BasePaavBhaji</vt:lpstr>
      <vt:lpstr>BaseStock</vt:lpstr>
      <vt:lpstr>BaseVegStock</vt:lpstr>
      <vt:lpstr>CakeFlour</vt:lpstr>
      <vt:lpstr>ChocoBrownieTBM</vt:lpstr>
      <vt:lpstr>ChocolateTBM</vt:lpstr>
      <vt:lpstr>ChurrosBase</vt:lpstr>
      <vt:lpstr>ChurrosTBM</vt:lpstr>
      <vt:lpstr>EnglishMuffinsTBM</vt:lpstr>
      <vt:lpstr>Flour</vt:lpstr>
      <vt:lpstr>HolSauceTBM</vt:lpstr>
      <vt:lpstr>JapanCheeseCakeTBM</vt:lpstr>
      <vt:lpstr>MinistroneTBM</vt:lpstr>
      <vt:lpstr>Munit</vt:lpstr>
      <vt:lpstr>PaavBhajiTBM</vt:lpstr>
      <vt:lpstr>StockTBM</vt:lpstr>
      <vt:lpstr>VegStockTBM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Sarvaarth Narang</dc:creator>
  <cp:lastModifiedBy>Sarvaarth Narang</cp:lastModifiedBy>
  <dcterms:created xsi:type="dcterms:W3CDTF">2026-08-22T08:26:44Z</dcterms:created>
  <dcterms:modified xsi:type="dcterms:W3CDTF">2026-08-22T08:27:34Z</dcterms:modified>
</cp:coreProperties>
</file>